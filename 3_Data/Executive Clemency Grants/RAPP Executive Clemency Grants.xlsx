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overnor" sheetId="1" r:id="rId4"/>
    <sheet state="visible" name="Summary" sheetId="2" r:id="rId5"/>
    <sheet state="visible" name="other data" sheetId="3" r:id="rId6"/>
    <sheet state="visible" name="Commutations" sheetId="4" r:id="rId7"/>
    <sheet state="visible" name="Pardons" sheetId="5" r:id="rId8"/>
    <sheet state="visible" name="Sources" sheetId="6" r:id="rId9"/>
    <sheet state="visible" name="for video" sheetId="7" r:id="rId10"/>
  </sheets>
  <definedNames/>
  <calcPr/>
  <extLst>
    <ext uri="GoogleSheetsCustomDataVersion2">
      <go:sheetsCustomData xmlns:go="http://customooxmlschemas.google.com/" r:id="rId11" roundtripDataChecksum="31SMjuDus0virs6xMu9Nnu9jqBfqflDYQrVSiG+2nT4="/>
    </ext>
  </extLst>
</workbook>
</file>

<file path=xl/comments1.xml><?xml version="1.0" encoding="utf-8"?>
<comments xmlns:r="http://schemas.openxmlformats.org/officeDocument/2006/relationships" xmlns="http://schemas.openxmlformats.org/spreadsheetml/2006/main">
  <authors>
    <author/>
  </authors>
  <commentList>
    <comment authorId="0" ref="B2">
      <text>
        <t xml:space="preserve">List of New York State Governors: https://simple.wikipedia.org/wiki/List_of_governors_of_New_York
======</t>
      </text>
    </comment>
    <comment authorId="0" ref="C2">
      <text>
        <t xml:space="preserve">Application numbers are indicated here when the report does not specify commutation or pardon.
======</t>
      </text>
    </comment>
    <comment authorId="0" ref="H2">
      <text>
        <t xml:space="preserve">There are instances where a clemency grant is mentioned but not if it was a commutation or pardon.
======</t>
      </text>
    </comment>
    <comment authorId="0" ref="G15">
      <text>
        <t xml:space="preserve">101 of these pardons have been granted to youths.
======</t>
      </text>
    </comment>
    <comment authorId="0" ref="C23">
      <text>
        <t xml:space="preserve">https://observer.com/2008/12/paterson-grants-two-clemencies/
======</t>
      </text>
    </comment>
  </commentList>
</comments>
</file>

<file path=xl/comments2.xml><?xml version="1.0" encoding="utf-8"?>
<comments xmlns:r="http://schemas.openxmlformats.org/officeDocument/2006/relationships" xmlns="http://schemas.openxmlformats.org/spreadsheetml/2006/main">
  <authors>
    <author/>
  </authors>
  <commentList>
    <comment authorId="0" ref="D24">
      <text>
        <t xml:space="preserve">https://wayback.archive-it.org/8438/20210820005333/https://www.governor.ny.gov/news/governor-cuomo-grants-clemency-21-individuals
======</t>
      </text>
    </comment>
    <comment authorId="0" ref="E24">
      <text>
        <t xml:space="preserve">Gus Bethea, 38, was convicted of Robbery in the First Degree in 2003. Mr. Bethea has served 18 years of a 25-year sentence for two street robberies. While in custody, he was valedictorian of his GED class and earned his Associate's degree with honors from SUNY Sullivan Community College through Hudson Link, a program that provides college classes for people who are incarcerated. He has served as a GED tutor, a chapel clerk, and an inmate leader for Children of Promise, which supports the children of incarcerated individuals. Upon release, he will live with his wife and continue to work towards a degree in Criminal Justice.
======</t>
      </text>
    </comment>
    <comment authorId="0" ref="D25">
      <text>
        <t xml:space="preserve">https://wayback.archive-it.org/8438/20210820005333/https://www.governor.ny.gov/news/governor-cuomo-grants-clemency-21-individuals
======</t>
      </text>
    </comment>
    <comment authorId="0" ref="E25">
      <text>
        <t xml:space="preserve">Jacinto Cedeno, 55, was convicted of Criminal Sale of a Controlled Substance in the First Degree, Criminal Possession of a Controlled Substance in the First Degree, Criminal Possession of a Controlled Substance in the Second Degree, and Criminal Possession of a Controlled Substance in the Third Degree in 1996. He has served 15 years of a 38.5-year to 50-year sentence. While in custody, Mr. Cedeno has held a number of jobs, including Administrative Porter - a trusted position which supports the Executive Team and facility Superintendent. He has also completed drug rehabilitation and anger management programs. Mr. Cedeno earned his GED while in custody, has lived on the honor block and is an active member of the faith community. Upon release, he will be deported to the Dominican Republic, his home country and will be reunited with his family.
======</t>
      </text>
    </comment>
    <comment authorId="0" ref="D26">
      <text>
        <t xml:space="preserve">https://wayback.archive-it.org/8438/20210820005333/https://www.governor.ny.gov/news/governor-cuomo-grants-clemency-21-individuals
======</t>
      </text>
    </comment>
    <comment authorId="0" ref="E26">
      <text>
        <t xml:space="preserve">Theresa Debo, 64, was convicted of Murder in the Second Degree in 2006. She has served 16 years of a 22 years to life sentence. As a child, Ms. Debo was removed from an abusive family environment and placed in foster care. She cycled in and out of abusive relationships throughout her adult life, including a relationship with victim of the crime for which she has now been incarcerated for more than 16 years and who she maintains she killed in self-defense. Ms. Debohad no prior criminal history. While incarcerated, Ms. Debo has participated in numerous programs addressing the effects of abuse. Ms. Debo has earned certification as a hospice aid and has participated in several animal caretaker training programs, including Puppies Behind Bars as well as veterinary assistance, pet grooming, and dog obedience training.
======</t>
      </text>
    </comment>
    <comment authorId="0" ref="D27">
      <text>
        <t xml:space="preserve">https://wayback.archive-it.org/8438/20210820005333/https://www.governor.ny.gov/news/governor-cuomo-grants-clemency-21-individuals
======</t>
      </text>
    </comment>
    <comment authorId="0" ref="E27">
      <text>
        <t xml:space="preserve">Joseph Norman, 60, was convicted of Robbery in the First Degree and Assault in the Second Degree in 2004. He committed the crimes to support a drug addiction. He has served 16 years out of a 20 years to life sentence. Mr. Norman has been sober since his incarceration and has completed substance abuse rehabilitation programming. While incarcerated, he has earned his GED, participated in anti-violence courses, and has worked full time in food service roles. Mr. Norman has had a clean prison disciplinary record and has lived on the honor block for nearly a decade.
======</t>
      </text>
    </comment>
    <comment authorId="0" ref="D28">
      <text>
        <t xml:space="preserve">https://wayback.archive-it.org/8438/20210820005333/https://www.governor.ny.gov/news/governor-cuomo-grants-clemency-21-individuals
======</t>
      </text>
    </comment>
    <comment authorId="0" ref="E28">
      <text>
        <t xml:space="preserve">Maria Ordonez, 26, was convicted of Manslaughter in the First Degree in 2018. She has served six years out of a nine-year sentence. Ms. Ordonez's childhood was filled with abuse and neglect. At age 20, she killed her abusive boyfriend during an incident where he was beating and choking her. While in custody, Ms. Ordonez has participated in vocational training and computer repair and has taken college courses through Marymount Manhattan College. Her professors have commended her dedication to her studies. She has maintained a consistent work history while incarcerated and has received positive work reports from supervisors. Upon release, she plans to live with her mother and brother.
======</t>
      </text>
    </comment>
    <comment authorId="0" ref="D29">
      <text>
        <t xml:space="preserve">https://wayback.archive-it.org/8438/20210820005333/https://www.governor.ny.gov/news/governor-cuomo-grants-clemency-21-individuals
======</t>
      </text>
    </comment>
    <comment authorId="0" ref="E29">
      <text>
        <t xml:space="preserve">Arnold Raimondo, 70, was convicted of Murder in the Second Degree and Criminal Possession of a Weapon in the Second Degree in 1983. He has served 39 years out of a 50-year to life sentence. Mr. Raimondo is a Vietnam veteran who enlisted at the age of 17 and served in the Vietnam War. Upon return, he suffered from PTSD that manifested itself in destructive behavior. While incarcerated he has advocated for incarcerated veterans with PTSD, including the expansion of opportunities for veterans to access therapy and treatment. Mr. Raimondo has co-authored an article about PTSD that was presented at an annual meeting of the American Society of Criminology and has completed two semesters at Marist College. He has lived in the honor block for more than a decade. He also writes poetry and paints murals. Upon release, Mr. Raimondo will live with his sister and work at his brother's carpentry business.
======</t>
      </text>
    </comment>
    <comment authorId="0" ref="D30">
      <text>
        <t xml:space="preserve">https://wayback.archive-it.org/8438/20210820005333/https://www.governor.ny.gov/news/governor-cuomo-grants-clemency-21-individuals
======</t>
      </text>
    </comment>
    <comment authorId="0" ref="E30">
      <text>
        <t xml:space="preserve">Clifton Williamson, 43, was convicted of Murder in the Second Degree, Attempted Robbery in the Second Degree, Criminal Possession of a Controlled Substance in the Third Degree, and Criminal Possession of a Controlled Substance in the Fourth Degree in 1996 and 1997, crimes he committed at 18-years-old. He has served 25 years of a 25-year to life sentence. While he was convicted of Murder he was not the person who pulled the trigger. Mr. Williamson had a difficult upbringing and was raised in foster homes before being adopted into a home where he was abused. After reporting that abuse, he was relocated to a shelter before ending up on the streets at age 17. While incarcerated, Mr. Williamson has earned a Journeyman Electrician certificate as well his GED, an Associate's degree, and a Bachelor's degree, graduating from the Bard Prison Initiative in 2019 after majoring in mathematics. He also founded a GED tutoring program for incarcerated individuals, has been a student in the Cornell Prison Education Project, and has participated in the Bard Prison Initiative's debate program, competing against debate teams from Harvard, Brown, and Vermont University. During his incarceration, Mr. Williamson also co-founded the Phoenix Players Shakespeare Theater Group and has participated in Rehabilitation Through the Arts.
======</t>
      </text>
    </comment>
    <comment authorId="0" ref="D35">
      <text>
        <t xml:space="preserve">https://ocfs.ny.gov/main/news/article.php?idx=1436
======</t>
      </text>
    </comment>
    <comment authorId="0" ref="E35">
      <text>
        <t xml:space="preserve">Judith Clark, 67, has served over 35 years of her 75 years to life sentence. On October 14, 1983, she was convicted of Murder in the Second Degree and Robbery in the First Degree in Rockland County for driving the getaway vehicle in a 1981 Brinks armored car robbery. Clark, who appeared pro se at her trial, received one of the longest sentences of her six co-defendants, the majority of whom are either deceased or no longer in custody. She received the same sentence as one of the known shooters. Her only female co-defendant, Kathy Boudin, whose participation in the underlying crime was similar to Clark’s, received a 20-year minimum sentence and was paroled in 2003, and then discharged from parole supervision in 2010. While at Bedford Hills, Clark has made exceptional strides in self-development. She earned a Bachelor’s Degree and a Master’s Degree from Mercy College and has an extensive prison programming record including teaching pre-natal parenting courses in the Nursery Program, founding an HIV/AIDS education program, training service dogs in the Puppies Behind Bars program, and serving as a college tutor. Further, she has maintained a perfect disciplinary record and lives in honor housing. Based on her original sentence, she would be 106 years old before she becomes eligible for parole, leaving her without an opportunity to appear before the parole board during her natural lifetime.
======</t>
      </text>
    </comment>
    <comment authorId="0" ref="D36">
      <text>
        <t xml:space="preserve">https://ocfs.ny.gov/main/news/article.php?idx=1436
======</t>
      </text>
    </comment>
    <comment authorId="0" ref="E36">
      <text>
        <t xml:space="preserve">Anthony Desmae, 34, has served almost eight years of his sentence of 10 years in prison following his conviction of Robbery in the Second Degree. He has made exceptional strides in self-improvement, including earning a GED in 2014. Mr. Desmae has been very involved as a group facilitator and certified animal caretaking with the Puppies Behind Bars program, in which inmates train service dogs for U.S. veterans returning home with post-traumatic stress disorder. He has also worked as a teaching assistant in GED courses. When released, he plans to reunite with his two children, ages 15 and 11. Ultimately, he hopes to move closer to his parents in Florida and create a non-profit similar to Puppies Behind Bars for Florida State correctional facilities.
======</t>
      </text>
    </comment>
    <comment authorId="0" ref="D37">
      <text>
        <t xml:space="preserve">https://ocfs.ny.gov/main/news/article.php?idx=1436
======</t>
      </text>
    </comment>
    <comment authorId="0" ref="E37">
      <text>
        <t xml:space="preserve">Matthew Hattley, 49, has served over 24 years of his sentence of 25 years to life for Murder in the Second Degree. While incarcerated, he has committed himself to helping others, leading substance abuse and aggression treatment workshops and serving as a voice for his peers in his regular columns for the Shawangunk Journal, a local paper of Shawangunk, NY. He has received many commendations and an award from facility staff and organizations. His case was handled pro bono by the Legal Aid Society and the law firm of Kirkland and Ellis through the Governor’’s pro bono program. Upon release, he plans to pursue a career in both heating system repair and counseling for youth at risk of criminal justice involvement.
======</t>
      </text>
    </comment>
    <comment authorId="0" ref="D38">
      <text>
        <t xml:space="preserve">https://ocfs.ny.gov/main/news/article.php?idx=1436
======</t>
      </text>
    </comment>
    <comment authorId="0" ref="E38">
      <text>
        <t xml:space="preserve">Charlie Lee, 73, has served more than 13 years of a 16-year sentence and has no prior criminal history. He was convicted of Manslaughter in the First Degree in New York County in 2004 after shooting the ex-boyfriend of his girlfriend during an argument. During his incarceration he has met his primary programming requirements, including completing Aggression Replacement Training, and has demonstrated a willingness to change his behavior to positively impact others. As someone who was born in India and became a naturalized U.S. citizen in 2004, Lee is ready to help others of different backgrounds deal with the challenges they face with language barriers. Upon his release, Lee plans to live in an adult home where he can volunteer in the community as an interpreter and re-establish connection with his family.
======</t>
      </text>
    </comment>
    <comment authorId="0" ref="D39">
      <text>
        <t xml:space="preserve">https://ocfs.ny.gov/main/news/article.php?idx=1436
======</t>
      </text>
    </comment>
    <comment authorId="0" ref="E39">
      <text>
        <t xml:space="preserve">Felipe Rodriguez, 51, has served almost 27 years of a 25 to life sentence following his conviction of Murder in the Second Degree and Criminal Possession of a Weapon in the Fourth Degree. While incarcerated, Rodriguez has excelled as a devoted leader of the Catholic faith, leading worship and bible study groups as well as contributing to facility Catholic newsletters. In 2013, his religious work earned him a laudatory visit from Cardinal Timothy Dolan, the Archbishop of New York. Rodriguez is also known for using his faith to guide infamous New York serial killer, Artie Shawcross, towards atonement before Shawcross’ death in 2008. Over the last 26 years, he has prepared himself for a productive life post-release by training in masonry, television and radio repair, and barbering, as well as HIV/AIDS counseling, receiving marks of high praise from his instructors in all courses. Felipe Rodriguez will reunite with his 30 year-old son, who was three years old when Mr. Rodriguez was taken into custody, and looks forward to being there for him as a father upon his return.
======</t>
      </text>
    </comment>
    <comment authorId="0" ref="D40">
      <text>
        <t xml:space="preserve">https://ocfs.ny.gov/main/news/article.php?idx=1436
======</t>
      </text>
    </comment>
    <comment authorId="0" ref="E40">
      <text>
        <t xml:space="preserve">Valerie Seeley, 61, has served 15 years of a 19 to life sentence for Murder in the Second Degree after killing her live-in boyfriend. She had a documented history of domestic violence at his hands, including having an order of protection against him. She turned to the domestic violence support group Steps to End Family Violence (STEPS) before trial and has stayed active with this group throughout her time in prison. She has improved herself by working towards her high school equivalency, and taking all rehabilitative programming, including Aggression Replacement Therapy. This grandmother has a good disciplinary record, and upon release, looks forward to living with her daughter.
======</t>
      </text>
    </comment>
    <comment authorId="0" ref="D41">
      <text>
        <t xml:space="preserve">https://ocfs.ny.gov/main/news/article.php?idx=1436
======</t>
      </text>
    </comment>
    <comment authorId="0" ref="E41">
      <text>
        <t xml:space="preserve">Jim Whitt, 50, has served more than 20 years of a 33 1/3 years to life sentence imposed during the late 1990s, under the harsh sentencing guidelines of the old Rockefeller drug laws. He was still a young man in his twenties when he was convicted of Criminal Sale of a Controlled Substance in the First, Second and Third Degrees, and Conspiracy in the First Degree. He is serving combined concurrent sentences that amount to 25 to life in prison, made even longer by additional shorter sentences for lesser included charges that were run consecutively. Whitt was a non-violent offender with no prior criminal record, and has not incurred any disciplinary infractions in the last 10 years. Without this commutation, he would not be eligible to appear before the parole board until 2030, when he is 63 years old. If he were charged today, rather than under the Rockefeller drug laws, he would not face a life sentence. With this commutation to the parole board we are removing the zero tolerance, life sentence punishment of the Rockefeller Drug Law era.
======</t>
      </text>
    </comment>
    <comment authorId="0" ref="D44">
      <text>
        <t xml:space="preserve">https://wayback.archive-it.org/8438/20211005043024/https://gov56.ny.gov/news/governor-cuomo-grants-clemency-four-individuals-and-launches-pro-bono-clemency-program
======</t>
      </text>
    </comment>
    <comment authorId="0" ref="E44">
      <text>
        <t xml:space="preserve">Lydia Ortiz, 70, of Rochester, is currently serving an aggregate sentence of 20 to 25 years in prison with five years of post-release supervision after being convicted in 1989 of Conspiracy, First-degree Criminal Possession of a Controlled Substance, and Third-degree Criminal Possession of a Controlled Substance in Monroe County. Ms. Ortiz has severe mobility issues and is unable to walk without assistance. Ms. Ortiz has an excellent prison disciplinary history and, despite her physical limitations and difficulty moving about the facility, has completed several programs to prepare her for re-entry, including the Alternative to Violence Program. She has maintained ties with family and friends during her incarceration and plans to reside with her family upon release.
======</t>
      </text>
    </comment>
    <comment authorId="0" ref="D45">
      <text>
        <t xml:space="preserve">https://wayback.archive-it.org/8438/20211005043024/https://gov56.ny.gov/news/governor-cuomo-grants-clemency-four-individuals-and-launches-pro-bono-clemency-program
======</t>
      </text>
    </comment>
    <comment authorId="0" ref="E45">
      <text>
        <t xml:space="preserve">Michael Correa, 43, of the Bronx, was convicted in 2010 of two counts of Criminal Sale of a Controlled Substance in the First Degree and Criminal Sale of a Controlled Substance in the Second Degree in New York County. Mr. Correa was battling substance abuse and sold drugs to an undercover officer to further support his addiction. He pleaded guilty and was sentenced to eight years in prison and five years post-release supervision. Over the past five years in custody, Mr. Correa successfully achieved his high school equivalency and completed a program to prepare him for re-entry. Since 2014, he has participated in the Department of Corrections and Community Supervision’s temporary work release program and gained employment as a messenger for a New York City-based company. He is the father of three children and grandfather of three grandchildren.
======</t>
      </text>
    </comment>
    <comment authorId="0" ref="D50">
      <text>
        <t xml:space="preserve">https://abcnews.go.com/US/ny-gov-david-paterson-commutes-john-whites-sentence/story?id=12471371
https://www.theroot.com/freed-from-prison-but-still-in-pain-1790882144
======</t>
      </text>
    </comment>
    <comment authorId="0" ref="D52">
      <text>
        <t xml:space="preserve">https://observer.com/2008/12/paterson-grants-two-clemencies/
======</t>
      </text>
    </comment>
    <comment authorId="0" ref="D53">
      <text>
        <t xml:space="preserve">https://observer.com/2008/12/paterson-grants-two-clemencies/
======</t>
      </text>
    </comment>
    <comment authorId="0" ref="D56">
      <text>
        <t xml:space="preserve">https://www.nytimes.com/2005/12/25/nyregion/drug-convict-wins-grant-of-clemency-from-pataki.html
======</t>
      </text>
    </comment>
    <comment authorId="0" ref="B59">
      <text>
        <t xml:space="preserve">https://www.nytimes.com/2002/12/25/nyregion/pataki-grants-clemency-to-4-in-prison.html
https://wayback.archive-it.org/8438/20070112075501/http://convwebdocs.oclc.org/0000057321-000002609044
======</t>
      </text>
    </comment>
    <comment authorId="0" ref="D60">
      <text>
        <t xml:space="preserve">https://wayback.archive-it.org/8438/20070112075501/http://convwebdocs.oclc.org/0000057321-000002609044
======</t>
      </text>
    </comment>
    <comment authorId="0" ref="E60">
      <text>
        <t xml:space="preserve">Eric Marsh, 46, was sentenced on February 4, 1992 in Nassau County for first degree criminal sale of a controlled substance. His sentence was 15 years to life; his parole eligibility date is November 10, 2006. Prior to his arrest, Mr. Marsh had no prior criminal history. He has accepted responsibility for his conduct and has had an unblemished disciplinary record in prison. While in prison, Mr. Marsh earned his B.A. degree from Marist College while also making dean's list. He also became a teacher=s aide in the prison's pre-GED project and created a program to teach math to inmates. Mr. Marsh has received excellent evaluations in prison and has served 11 years and one month of his minimum sentence.
======</t>
      </text>
    </comment>
    <comment authorId="0" ref="D61">
      <text>
        <t xml:space="preserve">https://wayback.archive-it.org/8438/20070112075501/http://convwebdocs.oclc.org/0000057321-000002609044
======</t>
      </text>
    </comment>
    <comment authorId="0" ref="E61">
      <text>
        <t xml:space="preserve">Ernesto Melendez, 48, was sentenced on December 13, 1989 in New York County for first degree criminal sale and possession of a controlled substance, as well as conspiracy in the second degree. His sentence was 20 years to life; his parole eligibility date is October 10, 2009. While in prison, Mr. Melendez earned his B.A. degree from Mercy College as well as an Associate's Degree from Bronx Community College. Mr. Melendez also earned a Master's degree from the New York Theological Seminary and generally maintained a 3.6 grade point average while pursuing this degree. While in prison, Mr. Melendez has developed skills working in carpentry, printing, masonry and computer repair. Mr. Melendez also pursued numerous volunteer activities, including working as a peer counselor, a teacher=s aide, an ESL tutor, and a grievance program aide. Mr. Melendez has served 13 years and two months of his minimum sentence.
======</t>
      </text>
    </comment>
    <comment authorId="0" ref="D62">
      <text>
        <t xml:space="preserve">https://wayback.archive-it.org/8438/20070112075501/http://convwebdocs.oclc.org/0000057321-000002609044
======</t>
      </text>
    </comment>
    <comment authorId="0" ref="E62">
      <text>
        <t xml:space="preserve">Victor Vaughn, 39, was sentenced on July 24, 1990 in Kings County for first-degree criminal possession of a controlled substance, three counts of third-degree criminal sale of a controlled substance and seventh-degree criminal possession of a controlled substance. His sentence was 15 years to life; his parole eligibility date is March 4, 2004. Mr. Vaughn admits being a long time drug abuser who started using cocaine while stationed in Korea for the US Army and takes full responsibility for his actions. Prior to his arrest, Mr. Vaughn had no criminal record. While in prison, Mr. Vaughn received his GED, has maintained an excellent disciplinary record and has successfully participated in various substance abuse treatment programs including the veterans chemical dependency program - where he advanced to Program Aide II - and Narcotics Anonymous. Upon release from prison, Mr. Vaughn wants to be a substance abuse counselor in his community. In prison, Mr. Vaughn developed skills working as a laundry operator, upholstery worker, industrial worker, typist and filer. Mr. Vaughn has served 13 years and nine months of his minimum sentence.
======</t>
      </text>
    </comment>
    <comment authorId="0" ref="D63">
      <text>
        <t xml:space="preserve">https://www.nytimes.com/2002/12/25/nyregion/pataki-grants-clemency-to-4-in-prison.html
https://wayback.archive-it.org/8438/20070112075501/http://convwebdocs.oclc.org/0000057321-000002609044
======</t>
      </text>
    </comment>
    <comment authorId="0" ref="E63">
      <text>
        <t xml:space="preserve">Linda White, 55, was sentenced in July 1990 in Queens County for the murder of her boyfriend. Her sentence was 17 years to life; her parole eligibility date is October 14, 2006. Although the jury rejected her claim of self defense, there was evidence - including a court-ordered order of protection against the victim - as well as testimony at trial to support her domestic abuse claims. In prison, White has had an unblemished disciplinary record, has participated in programs to combat violence and has testified before the Governor's Commission on Domestic Violence Fatalities. She continues to work toward obtaining her GED, and has developed skills working as a porter, a children's center aide and a clerk/typist. Before incarceration, Ms. White took care of her mentally retarded brother and has counseled inmates with learning disabilities while in prison. Ms. White's clemency application is supported by the sentencing judge and the New York State Coalition Against Domestic Violence. Ms. White has served 13 years and 2 months of her minimum sentence.
"While the extent of domestic violence in this case remains in dispute, no degree of domestic violence can ever excuse killing another human being, and I do not question the jury's verdict," Governor Pataki said. "However, the extraordinary powers of clemency allow me to exercise compassion and recognize not only that domestic violence was a factor in this case but that Linda White has demonstrated a true commitment to rebuilding her life through her exemplary prison record. She has earned a second chance by becoming a model prisoner over the last 13 years."
======</t>
      </text>
    </comment>
    <comment authorId="0" ref="D64">
      <text>
        <t xml:space="preserve">https://wayback.archive-it.org/8438/20070112075148/http://convwebdocs.oclc.org/0000057321-000002607622
======</t>
      </text>
    </comment>
    <comment authorId="0" ref="E64">
      <text>
        <t xml:space="preserve">Samuel Roldan, 49, was sentenced on September 28, 1988 in New York County for first-degree criminal sale of a controlled substance. His sentence was 15 years to life with a parole eligibility date of July 19, 2003. At the time of his arrest, Mr. Roldan freely admitted his guilt and cooperated with police. While in prison, Mr. Roldan has maintained an excellent disciplinary record and has successfully participated in various substance abuse treatment programs including Alcohol Substance Abuse Treatment (ASAT). Mr. Roldan was assigned as a mechanic and electrician in prison and was gainfully employed as a construction worker, carpenter and plumber prior to his incarceration. Mr. Roldan has served 13 years and five months of his minimum sentence.
======</t>
      </text>
    </comment>
    <comment authorId="0" ref="D65">
      <text>
        <t xml:space="preserve">https://wayback.archive-it.org/8438/20070112075148/http://convwebdocs.oclc.org/0000057321-000002607622
======</t>
      </text>
    </comment>
    <comment authorId="0" ref="E65">
      <text>
        <t xml:space="preserve">Richard Seager, 55, was sentenced on March 6, 1987 in Oneida County for first-degree criminal possession of a controlled substance. His sentence was 17 years to life with a parole eligibility date of December 19, 2003. Before his incarceration, Mr. Seager worked as a therapy aide and assistant mental hygienist. While in prison, he earned Associate's and Bachelor's degrees and completed ASAT programming. He also acquired skills in maintenance repair, electric trades and welding. Mr. Seager has also received several awards from the Department of Corrections' "Correction on Canvas" program for his artwork. Upon release, he will live with his daughter and son-in-law. Mr. Seager has served 15 years of his minimum sentence.
======</t>
      </text>
    </comment>
    <comment authorId="0" ref="B67">
      <text>
        <t xml:space="preserve">https://www.nytimes.com/1999/12/24/nyregion/4-first-time-drug-offenders-granted-clemency-by-pataki.html
======</t>
      </text>
    </comment>
    <comment authorId="0" ref="B72">
      <text>
        <t xml:space="preserve">https://www.nytimes.com/1997/12/25/nyregion/governor-commutes-sentences-of-3-convicted-on-drug-charges.html
======</t>
      </text>
    </comment>
    <comment authorId="0" ref="D72">
      <text>
        <t xml:space="preserve">https://www.nytimes.com/1997/12/25/nyregion/governor-commutes-sentences-of-3-convicted-on-drug-charges.html
======</t>
      </text>
    </comment>
    <comment authorId="0" ref="D73">
      <text>
        <t xml:space="preserve">https://www.nytimes.com/1997/12/25/nyregion/governor-commutes-sentences-of-3-convicted-on-drug-charges.html
======</t>
      </text>
    </comment>
    <comment authorId="0" ref="D74">
      <text>
        <t xml:space="preserve">https://www.nytimes.com/1997/12/25/nyregion/governor-commutes-sentences-of-3-convicted-on-drug-charges.html
======</t>
      </text>
    </comment>
    <comment authorId="0" ref="D75">
      <text>
        <t xml:space="preserve">https://en.wikipedia.org/wiki/Anthony_Papa
======</t>
      </text>
    </comment>
    <comment authorId="0" ref="D89">
      <text>
        <t xml:space="preserve">https://www.upi.com/Archives/1982/05/13/A-convict-who-was-granted-clemency-by-Gov-Hugh/4887390110400/
======</t>
      </text>
    </comment>
    <comment authorId="0" ref="B90">
      <text>
        <t xml:space="preserve">https://www.nytimes.com/1981/11/26/nyregion/carey-gives-clemency-to-11-jailed-on-drugs.html
======</t>
      </text>
    </comment>
    <comment authorId="0" ref="B106">
      <text>
        <t xml:space="preserve">https://www.nytimes.com/1975/12/26/archives/governors-clemency.html?searchResultPosition=38
======</t>
      </text>
    </comment>
    <comment authorId="0" ref="D106">
      <text>
        <t xml:space="preserve">https://www.nytimes.com/1975/12/25/archives/clemency-given-to-sostre-and-7-sakharov-and-others-urged-governor.html
======</t>
      </text>
    </comment>
    <comment authorId="0" ref="D107">
      <text>
        <t xml:space="preserve">https://www.nytimes.com/1975/12/25/archives/clemency-given-to-sostre-and-7-sakharov-and-others-urged-governor.html
======</t>
      </text>
    </comment>
  </commentList>
</comments>
</file>

<file path=xl/comments3.xml><?xml version="1.0" encoding="utf-8"?>
<comments xmlns:r="http://schemas.openxmlformats.org/officeDocument/2006/relationships" xmlns="http://schemas.openxmlformats.org/spreadsheetml/2006/main">
  <authors>
    <author/>
  </authors>
  <commentList>
    <comment authorId="0" ref="B70">
      <text>
        <t xml:space="preserve">https://www.rochesterfirst.com/news/local-news/cuomo-grants-clemency-to-61-individuals/
======</t>
      </text>
    </comment>
    <comment authorId="0" ref="D70">
      <text>
        <t xml:space="preserve">https://www.immigrantdefenseproject.org/wp-content/uploads/pardon-release-20171228.pdf
======</t>
      </text>
    </comment>
    <comment authorId="0" ref="E70">
      <text>
        <t xml:space="preserve">Lorena	Borjas,	57,	was	convicted	of	Criminal	Facilitation	in	the	Fourth	Degree	in	1994,	as	a	result	of	
being	entrapped	as	a	victim	of	human	trafficking. Ms.	Borjas,	a	transgender	woman	from	Mexico,	has	
since	become	a	strong	advocate	for	transgender	and	immigrant	communities	across	the	country,	
running	HIV	testing	programs	for	transgender	sex	workers,	and	syringe	exchange	programs	for	
transwomen	taking	hormone	injections. She	currently	works	as	an	educator	at	community	health	
centers	across	New	York	City,	and	has	received	commendations	from	elected	officials,	advocates,	and	
community	members,	including	New	York	City	Public	Advocate	Letitia	James. With	this	pardon,	she	
hopes	to	obtain	citizenship	and	avoid	deportation,	in	order	to	effectively	continue	her	advocacy	work	
here	in	New	York	State.
======</t>
      </text>
    </comment>
    <comment authorId="0" ref="D72">
      <text>
        <t xml:space="preserve">https://www.immigrantdefenseproject.org/wp-content/uploads/pardon-release-20171228.pdf
======</t>
      </text>
    </comment>
    <comment authorId="0" ref="E72">
      <text>
        <t xml:space="preserve">Freddy	Perez,	53,	was	convicted	of	Criminal	Sale	of	a	Controlled	Substance	in	the	Third	Degree	and	
Attempted	Criminal	Sale	of	a	Controlled	Substance	in	the	Third	Degree	in	1993.	Since	then,	he	was	
worked	as	an	electrician	and	has	taken	care	of	his	autistic	younger	brother. Mr.	Perez	is	an	immigrant	
from	the	Dominican	Republic	and	hopes	to	adjust	his	status	to	that	of	citizen. With	a	pardon,	he	can	
achieve	this	goal,	as	well	as	exercise	guardianship	over	his	brother.
======</t>
      </text>
    </comment>
    <comment authorId="0" ref="D73">
      <text>
        <t xml:space="preserve">https://www.immigrantdefenseproject.org/wp-content/uploads/pardon-release-20171228.pdf
======</t>
      </text>
    </comment>
    <comment authorId="0" ref="E73">
      <text>
        <t xml:space="preserve">Alexander	Shilov,	35,	was	convicted	of	Petit	Larceny	and	Attempted	Petit	Larceny,	from	2000	to	
2004. As	a	teenager,	newly	immigrated	from	Estonia,	the	son	of	a	hard-working	single	mother,	Mr.	
Shilov	developed	a	drug	addiction	leading	him	to	commit	the	string	of	misdemeanors	that	now	
jeopardize	his	ability	to	stay	in	this	country. For	the	past	13	years,	Mr.	Shilov	has	remained	sober,	and	
has	worked	his	way	from	obtaining	his	GED	to	becoming	a	distinguished	nurse	at	a	Brooklyn	long-term	
managed	care	provider. Additionally,	Mr.	Shilov	frequently	gives	talks	on	overcoming	addiction	at	
hospital	detox	units,	volunteers	as	a	nurse	in	New	York's	Medical	Reserve	Corps,	and	provides	bilingual	
services	in	his	Russian-speaking	community. A	pardon	will	allow	him	to	fight	his	current	Order	of	
Removal	and	pave	the	way	for	citizenship	so	that	he	may	continue	building	a	life	with	his	fiancée	and	
two	infant	children,	and	continue	to	support	his	elderly	mother.
======</t>
      </text>
    </comment>
    <comment authorId="0" ref="D89">
      <text>
        <t xml:space="preserve">https://ocfs.ny.gov/main/news/article.php?idx=1436
======</t>
      </text>
    </comment>
    <comment authorId="0" ref="E89">
      <text>
        <t xml:space="preserve">DeJuan Callender, 42, was convicted of disorderly conduct and unlicensed operation of a vehicle resulting from an incident in 2002. He has had no further criminal activity, but because of his prior criminal history he was ordered to be removed from the country in 2005 – although the order was not originally executed. For several years, Mr. Callender has worked steadily and on-the-books as a doorman for a residence in White Plains, NY, where several residents attest to his work ethic and good character. In 2015, he was placed into federal Immigration and Customs Enforcement custody based on the 2005 removal order. He has a six year-old son and wife, both of whom are United States citizens. Based on evidence of his rehabilitation, as well as the special circumstances of a pending removal from the United States, the Governor is issuing a pardon for the 2002 state offenses, which served as grounds for the order of removal. Mr. Callender will seek to reopen his removal order in immigration court, using the pardon as a changed circumstance.
======</t>
      </text>
    </comment>
    <comment authorId="0" ref="D90">
      <text>
        <t xml:space="preserve">https://ocfs.ny.gov/main/news/article.php?idx=1436
======</t>
      </text>
    </comment>
    <comment authorId="0" ref="E90">
      <text>
        <t xml:space="preserve">Jessica Ennist, 33, was the subject of several convictions for Driving Under the Influence and Assault in the Third Degree during a period of heavy drinking that ultimately led her to drop out of community college. She has been sober since her last conviction in 2006, and has volunteered in substance abuse programs in jail and sponsored several young people battling addiction. She is a current PhD student at Bozeman Graduate Chemistry Department of Montana State University, aiming to become a research chemist. She has earned accolades as a young woman of color in science as a member of The SUNY Louis Stokes Alliance for Minority Participation (SUNY LSAMP), and was featured in a “SUNY LSAMP Student Success Stories” report from 2011. Additionally, she was granted a Certificate of Honor from New York State Collegiate Science and Technology Entry Program (CSTEP) in April 2010. A pardon will allow Ms. Ennist to apply for federal research grants as a research Chemist, which she is currently unable to do as a result of her past convictions.
======</t>
      </text>
    </comment>
    <comment authorId="0" ref="D91">
      <text>
        <t xml:space="preserve">https://ocfs.ny.gov/main/news/article.php?idx=1436
======</t>
      </text>
    </comment>
    <comment authorId="0" ref="E91">
      <text>
        <t xml:space="preserve">Kelly Jarrett, 64, was convicted of Murder and Robbery in the First Degree in 1977; subsequently, she was convicted of Escape in the Second Degree and Attempted Escape in the First Degree in 1979. She received an aggregate sentence of 28.5 years to life in prison. In 2005, Ms. Jarrett was released after completing her minimum 28.5-year sentence and she was released from parole supervision in 2008. Throughout her incarceration, she maintained an excellent disciplinary record and worked in the prison infirmary as a caretaker for terminally ill inmates suffering from AIDS and cancer. This compassion extended to her profession outside of prison, and for the last 13 years, she has resided and worked at the Franciscan Missionary Sisters of the Sacred Heart, a Catholic religious convent, where she cares for ill and elderly nuns. With this pardon, she plans to attend nursing school and obtain a nursing license to expand her employment opportunities.
======</t>
      </text>
    </comment>
    <comment authorId="0" ref="D92">
      <text>
        <t xml:space="preserve">https://ocfs.ny.gov/main/news/article.php?idx=1436
======</t>
      </text>
    </comment>
    <comment authorId="0" ref="E92">
      <text>
        <t xml:space="preserve">Anthony Papa, 62, was convicted of Criminal Sale of a Controlled Substance in the First Degree and Criminal Possession of a Controlled Substance in the First Degree in 1985. He was sentenced under the former Rockefeller Drug Laws to 15 years to life in prison; however, after serving 12 years, his sentence was commuted by former Governor George Pataki on December 23, 1996, he was released from prison on January 23, 1997, and successfully completed parole supervision on January 25, 2002. Mr. Papa is an author and painter. He has published two books about his experience living and painting through his 12 years in prison including This Side of Freedom: Life After Clemency (2015), and 15 to Life: How I Painted My Way to Freedom (2004). His artwork has been displayed in museums, including the Whitney Museum of American Art. With this pardon, Mr. Papa hopes to expand housing and employment opportunities, as well as restore his right to serve on a jury.
======</t>
      </text>
    </comment>
    <comment authorId="0" ref="D93">
      <text>
        <t xml:space="preserve">https://ocfs.ny.gov/main/news/article.php?idx=1436
======</t>
      </text>
    </comment>
    <comment authorId="0" ref="E93">
      <text>
        <t xml:space="preserve">Mitchell Pine, 63, was convicted of Attempted Criminal Sale of a Controlled Substance in the Sixth Degree, for which he was sentenced to a five-year term of probation. He has since led a law-abiding life in the Fort Lauderdale area of Florida, father to 2 adult autistic sons. He volunteers much of his time at his son’s autistic services center, involved in parenting workshops for fathers with autistic children and developing new technologies allowing autistic individuals to communicate more effectively. Mr. Pine will use the pardon to reopen his petition in the Florida court system to register as the legal guardian for his youngest son, age 18, so that he may manage his son’s insurance and medical needs.
======</t>
      </text>
    </comment>
    <comment authorId="0" ref="D96">
      <text>
        <t xml:space="preserve">https://wayback.archive-it.org/8438/20211005043024/https://gov56.ny.gov/news/governor-cuomo-grants-clemency-four-individuals-and-launches-pro-bono-clemency-program
======</t>
      </text>
    </comment>
    <comment authorId="0" ref="E96">
      <text>
        <t xml:space="preserve">Patrick Olivier, 43, of Jersey City, NJ, was convicted in 1993 of Third-degree Attempted Criminal Sale of a Controlled Substance in Suffolk County. Olivier was sentenced to 60 days in the Suffolk County Jail and five years of probation after pleading guilty. This was Mr. Olivier’s first and only criminal offense. Mr. Olivier has since obtained his general equivalency diploma, obtained his security guard’s license, and completed legal assistant training. Mr. Olivier is a lawful permanent resident from Haiti and seeks to become a U.S. citizen.
======</t>
      </text>
    </comment>
    <comment authorId="0" ref="D97">
      <text>
        <t xml:space="preserve">https://wayback.archive-it.org/8438/20211005043024/https://gov56.ny.gov/news/governor-cuomo-grants-clemency-four-individuals-and-launches-pro-bono-clemency-program
======</t>
      </text>
    </comment>
    <comment authorId="0" ref="E97">
      <text>
        <t xml:space="preserve">Joseph Wilson, 66, of New York City, was convicted after a jury trial in 2006 in New York County of Criminal Possession of a Controlled Substance in the Seventh Degree, Attempted Tampering with Physical Evidence, Resisting Arrest, and Obstructing Governmental Administration in the Second Degree. He successfully completed four days of community service and one year of conditional discharge, and received a Certificate of Relief from Disabilities on December 15, 2009. Mr. Wilson is a native of Liberia who has resided in New York City for over 40 years and these convictions have hampered his efforts to regain his legal residency and obtain viable employment. Mr. Wilson has two grown sons and four grandchildren. He has no other criminal history.
======</t>
      </text>
    </comment>
    <comment authorId="0" ref="B100">
      <text>
        <t xml:space="preserve">https://www.nytimes.com/2014/01/01/nyregion/cuomo-issues-pardons-for-first-time-in-office.html
======</t>
      </text>
    </comment>
    <comment authorId="0" ref="D139">
      <text>
        <t xml:space="preserve">https://www.nytimes.com/2007/12/22/nyregion/22pardon.html
======</t>
      </text>
    </comment>
  </commentList>
</comments>
</file>

<file path=xl/sharedStrings.xml><?xml version="1.0" encoding="utf-8"?>
<sst xmlns="http://schemas.openxmlformats.org/spreadsheetml/2006/main" count="1312" uniqueCount="595">
  <si>
    <t>Please be advised that much of this data is incomplete due to the NYS Governor's office not having provided clear data.</t>
  </si>
  <si>
    <t>Total Received</t>
  </si>
  <si>
    <t>Total Granted</t>
  </si>
  <si>
    <t>Commutations Granted</t>
  </si>
  <si>
    <t>Pardons Granted</t>
  </si>
  <si>
    <t>Years in Office</t>
  </si>
  <si>
    <t>Governor</t>
  </si>
  <si>
    <t>2021-Present</t>
  </si>
  <si>
    <t>Kathy Hochul (D)</t>
  </si>
  <si>
    <t>2012-2021</t>
  </si>
  <si>
    <t>Andrew Cuomo (D)</t>
  </si>
  <si>
    <t>2008-2010</t>
  </si>
  <si>
    <t>David Patterson (D)</t>
  </si>
  <si>
    <t>Eliot Spitzer (D)</t>
  </si>
  <si>
    <t>No Data</t>
  </si>
  <si>
    <t>1995-2006</t>
  </si>
  <si>
    <t>George Pataki (R)</t>
  </si>
  <si>
    <t>1985-1994</t>
  </si>
  <si>
    <t>Mario Cuomo (D)</t>
  </si>
  <si>
    <t>1975-1984</t>
  </si>
  <si>
    <t>Hugh Leo Carey (D)</t>
  </si>
  <si>
    <t>1973-1974</t>
  </si>
  <si>
    <t>Malcolm Wilson (R)</t>
  </si>
  <si>
    <t>1959-1972</t>
  </si>
  <si>
    <t>Nelson Rockefeller (R)</t>
  </si>
  <si>
    <t>1955-1958</t>
  </si>
  <si>
    <t>William Harriman (D)</t>
  </si>
  <si>
    <t>Updated: 03/21/2024</t>
  </si>
  <si>
    <t>Date</t>
  </si>
  <si>
    <t>Yearly Applications Received</t>
  </si>
  <si>
    <t>Commutations</t>
  </si>
  <si>
    <t>Pardons</t>
  </si>
  <si>
    <t>Undetermined Grant</t>
  </si>
  <si>
    <t>Total Applications Received:</t>
  </si>
  <si>
    <t>Total Applications Granted:</t>
  </si>
  <si>
    <t>Total</t>
  </si>
  <si>
    <t>Received:</t>
  </si>
  <si>
    <t>Granted:</t>
  </si>
  <si>
    <t>Received</t>
  </si>
  <si>
    <t>Granted</t>
  </si>
  <si>
    <t>Yearly Grant Totals</t>
  </si>
  <si>
    <t>Sources</t>
  </si>
  <si>
    <t>No data</t>
  </si>
  <si>
    <t>Thomas Dewey (R)</t>
  </si>
  <si>
    <t>Charles Poletti (D)</t>
  </si>
  <si>
    <t>Herbert Lehman</t>
  </si>
  <si>
    <t>Franklin D. Roosevelt (D)</t>
  </si>
  <si>
    <t>Al Smith (D)</t>
  </si>
  <si>
    <t>Charles Whitman (R)</t>
  </si>
  <si>
    <t>Martin Glynn (D)</t>
  </si>
  <si>
    <t>John Alden Dix (D)</t>
  </si>
  <si>
    <t>Horace White</t>
  </si>
  <si>
    <t>Charles Hughes (R)</t>
  </si>
  <si>
    <t>Frank Higgens (R)</t>
  </si>
  <si>
    <t>Benjamin Odell (R)</t>
  </si>
  <si>
    <t>Theodore Roosevelt (R)</t>
  </si>
  <si>
    <t>Frank Black (R)</t>
  </si>
  <si>
    <t>Year</t>
  </si>
  <si>
    <t>Applications</t>
  </si>
  <si>
    <t>Grants</t>
  </si>
  <si>
    <t>Notes</t>
  </si>
  <si>
    <t>source</t>
  </si>
  <si>
    <t>https://gothamist.com/news/more-than-1500-incarcerated-new-yorkers-are-asking-gov-hochul-for-the-year-end-gift-of-freedom</t>
  </si>
  <si>
    <t>https://www.cityandstateny.com/politics/2023/12/ahead-christmas-hochul-grants-pardons-and-commutations-16-people/393006/</t>
  </si>
  <si>
    <t>857 applications for commutations and 441 requests for pardons pending</t>
  </si>
  <si>
    <t>https://www.nytimes.com/2022/12/21/nyregion/kathy-hochul-pardon-clemency.html</t>
  </si>
  <si>
    <t>thru Aug 9</t>
  </si>
  <si>
    <t>https://www.prisonpolicy.org/reports/commutations.html#states</t>
  </si>
  <si>
    <t>notes from rebecca:</t>
  </si>
  <si>
    <r>
      <rPr/>
      <t xml:space="preserve">this data is clearly labeled as "applications for commutation" here </t>
    </r>
    <r>
      <rPr>
        <color rgb="FF1155CC"/>
        <u/>
      </rPr>
      <t>https://www.prisonpolicy.org/reports/commutations.html#nyappendix</t>
    </r>
  </si>
  <si>
    <t>that said the 2010 number looks more like what we had for commutations and pardon applications.  (but not exactly! ours add to 1269 and this is 1209)</t>
  </si>
  <si>
    <t>clemency stats for all states (sort of)</t>
  </si>
  <si>
    <t>https://ccresourcecenter.org/state-restoration-profiles/50-state-comparisoncharacteristics-of-pardon-authorities-2/</t>
  </si>
  <si>
    <t>Total Commutations:</t>
  </si>
  <si>
    <t>First Name</t>
  </si>
  <si>
    <t>Last Name</t>
  </si>
  <si>
    <t>Bio</t>
  </si>
  <si>
    <t>Kathy Hochul</t>
  </si>
  <si>
    <t>Eric</t>
  </si>
  <si>
    <t>Davidson</t>
  </si>
  <si>
    <t>54, was convicted of Burglary in the Second Degree and Criminal Possession of Stolen Property in the Fifth Degree in 2012. He was sentenced to 16 years to life in prison, of which he has served close to 14 years.</t>
  </si>
  <si>
    <t>Alexander</t>
  </si>
  <si>
    <t>Dockery</t>
  </si>
  <si>
    <t>54, was convicted of Burglary in the Second Degree, Burglary in the Third Degree, Attempted Burglary in the Second Degree, and Criminal Trespass in the Second Degree between 2000 and 2002.</t>
  </si>
  <si>
    <t>Gregory</t>
  </si>
  <si>
    <t>Goodwine</t>
  </si>
  <si>
    <t>56, was convicted of Robbery in the First Degree, Criminal Possession of a Weapon in the Third Degree, and Grand Larceny in the Fourth Degree in 2005 in relation to a purse snatching outside of a grocery store that did not result in physical injury.</t>
  </si>
  <si>
    <t>David</t>
  </si>
  <si>
    <t>Herion</t>
  </si>
  <si>
    <t>49, was convicted of Attempted Murder in the Second Degree, Assault in the First Degree, Assault in the Second Degree, and Criminal Possession of a Weapon in the Second Degree in 1997.</t>
  </si>
  <si>
    <t>Myeshia</t>
  </si>
  <si>
    <t>Hawkins-Taylor</t>
  </si>
  <si>
    <t>49, was convicted of Attempted Murder in the Second Degree in 2017. She was sentenced to 16 years in prison, and has served more than seven and a half years of her sentence.</t>
  </si>
  <si>
    <t>Bryon</t>
  </si>
  <si>
    <t>Russ</t>
  </si>
  <si>
    <t>47, was convicted of four counts of Robbery in the First Degree, two counts of Burglary in the First Degree, Burglary in the Second Degree, Robbery in the Third Degree, Assault in the First Degree, Criminal Possession of a Weapon in the Second Degree, and Conspiracy in the Fourth Degree in 2001. Mr. Russ was sentenced to 40 years in prison, of which he has served close to 23 years. While incarcerated, Mr. Russ has enrolled in and continues to take courses toward his Bachelor's Degree, has worked as a teacher's assistant for other incarcerated individuals seeking their GED, has become an accomplished legal researcher, and earned a paralegal certification after completing an eight-month course in 2022. Mr. Russ has also engaged in a wide range of counseling and volunteer work, including as a facilitator of anti-violence and aggression replacement programs and a participant in Rehabilitation Through the Arts. With his wife, Mr. Russ also started an initiative that raises donations to buy backpacks and school supplies for children in need; now an annual event, this effort has led to more than 200 hundred backpacks and supplies being given out to children in New York State. Upon release, Mr. Russ will live with his wife.</t>
  </si>
  <si>
    <t>Joaquin</t>
  </si>
  <si>
    <t>Winfield</t>
  </si>
  <si>
    <t>58, was convicted of Criminal Possession of A Controlled Substance in the First Degree, two counts of Criminal Possession of A Controlled Substance in the Third Degree, Criminal Sale of A Controlled Substance in the Third Degree, Criminal Use of Drug Paraphernalia in the Second Degree, and Criminal Possession of a Weapon in the Fourth Degree in 1997. Mr. Winfield was sentenced to 37 and a half years to life in prison under the Rockefeller Drug Laws in place at the time and has served more than 26 years. His sentence is now among the longest of any in the State stemming from a conviction for drug-related non-violent offenses. Under his original sentence, Mr. Winfield would not see the Board of Parole until 2034. His sentence is being commuted to allow him an earlier opportunity to appear before the Parole Board so that the board can make a determination about whether he is suitable for parole.</t>
  </si>
  <si>
    <t>Jacqueline</t>
  </si>
  <si>
    <t>Smalls</t>
  </si>
  <si>
    <t>60, was convicted of Manslaughter in the First Degree, two counts of Criminal Sale of a Controlled Substance in the Third Degree, and two counts of Criminal Possession of a Controlled Substance in the Third Degree in 2013. Ms. Smalls is a survivor of domestic violence, having experienced several relationships in which she was subjected to physical, emotional, and financial abuse. Her present conviction stems from an incident in which her abuser entered her home in violation of two active orders of protection. This followed similar incidents in the months prior that resulted in Ms. Smalls' abuser choking and assaulting her, and thus fearing for her life, Ms. Smalls stabbed him once in the chest. She was sentenced to 15 years in prison and has served more than 10 years. While incarcerated, she has worked toward her GED and completed domestic violence programs. Upon release, Ms. Smalls will be reunited with her daughter.</t>
  </si>
  <si>
    <t>Anthony</t>
  </si>
  <si>
    <t>Evans</t>
  </si>
  <si>
    <t>56, was convicted of Burglary in the Second Degree in 2004. He has served nearly 19 years of a 22-year to life sentence. At a young age, Mr. Evans was exposed to crime and substance abuse, and his family was greatly impacted by steel mill closures and deindustrialization in the Buffalo area. During nearly two decades of incarceration, he has earned his GED, become active in his religious community, rebuilt ties with family, and helped counsel other incarcerated individuals working to earn and maintain their sobriety. He has not had a disciplinary infraction in more than 15 years. Upon release, Mr. Evans will live with his wife and has a job offer at a commercial real estate business.</t>
  </si>
  <si>
    <t>Bruce</t>
  </si>
  <si>
    <t>Bryant</t>
  </si>
  <si>
    <t>53, was convicted of Murder in the Second Degree, Attempted Murder in the Second Degree, and Criminal Possession of a Weapon in the Third Degree in 1996. He was 23 years old at the time of the crime and has served more than 30 years out of a 37.5-year to life sentence. During his three decades of incarceration, Mr. Bryant has earned an Associate's Degree and Bachelor's Degree, and recently earned a certification through an entrepreneurial training program. Mr. Bryant also facilitates anti-violence workshops and co-founded the Civic Duty Initiative, a program that has raised money for gun buy-backs, donated books to local communities, and raised money to provide children with backpacks and other charitable causes. He has also worked with a nonprofit organization to establish a mentoring program aimed at preventing youth violence and has also completed and facilitated numerous workshops aimed at self-development, including a focus on programs assisting children of incarcerated parents. Under his original sentence, Mr. Bryant would not see the Board of Parole until 2029. His sentence is being commuted to allow him an earlier opportunity to appear before the Parole Board so that the board can make a determination about whether he is suitable for parole.</t>
  </si>
  <si>
    <t>Stanley</t>
  </si>
  <si>
    <t>Bellamy</t>
  </si>
  <si>
    <t>60, was convicted of Murder in the Second Degree, Attempted Murder in the Second Degree, and Robbery in the First Degree in 1987. He was 23 years old at the time of the crime and has served more than 37 years out of a 62-and-a-half-year to life sentence. During his nearly four decades of incarceration, Mr. Bellamy has earned his GED, Associate's Degree, and Bachelor's Degree, and has worked for years as a teaching assistant for Adult Basic Education and Pre-College courses for other incarcerated individuals. He also led a computer literacy program for incarcerated individuals, and helped launch a mentoring program aimed at teaching others about entrepreneurship. He served for years as the lead organizer of an annual anti-violence seminar at Sullivan Correctional Facility, and was a co-founder of the Civic Duty Initiative, a program that has raised money for gun buy-backs, donated books to local communities, and raised money to provide children with backpacks and other charitable causes. While incarcerated, Mr. Bellamy has earned recognition as a leader and mentor, and has developed and facilitated a wide range of programming on topics like conflict resolution, anger management, self-development, and personal responsibility. He has earned over 70 certificates, awards, and other forms of recognition for his accomplishments and contributions to others during his period of incarceration. Under his original sentence, Mr. Bellamy would not see the Board of Parole until 2048, when he would be 85 years old. His sentence is being commuted to allow him an earlier opportunity to appear before the Parole Board so that the board can make a determination about whether he is suitable for parole.</t>
  </si>
  <si>
    <t>Roger</t>
  </si>
  <si>
    <t>Cole</t>
  </si>
  <si>
    <t>55, was originally sentenced to one hundred and twenty-five years to life in prison, having been put on trial during the Rockefeller Drug Law era during which extremely lengthy prison sentences were handed down for drug-related convictions. In 1989 and 1992, he was convicted of five counts of Criminal Sale of a Controlled Substance in the First Degree and one count each of Criminal Sale of a Firearm in the Second Degree and Criminal Possession of a Weapon in the Third Degree. His sentence was subsequently reduced on appeal to eighty-five to one hundred years, of which Mr. Cole has now served more than thirty years. If he were sentenced today, he likely would not have faced such a lengthy sentence. While incarcerated, Mr. Cole has earned his GED and an Associate Degree, and has completed numerous vocational training and certification programs, including legal research and law library management. He also earned a certificate for completing a three-year business course while incarcerated. Upon his release, Mr. Cole will be reunited with his mother and other family members in his home country of Jamaica who will provide housing and help him find employment.</t>
  </si>
  <si>
    <t>Andrew Cuomo</t>
  </si>
  <si>
    <t>Ulysses</t>
  </si>
  <si>
    <t>Boyd</t>
  </si>
  <si>
    <t>66, was convicted of one count of second-degree Murder and two counts of second-degree Criminal Possession of a Weapon for an incident in which he was not the gunman.</t>
  </si>
  <si>
    <t>Richard "Lee"</t>
  </si>
  <si>
    <t>Chalk</t>
  </si>
  <si>
    <t>was convicted of two counts of second-degree Murder, two counts of first-degree Robbery, two counts of first-degree Burglary, and second-degree Criminal Possession of a Weapon in 1988, related to an incident in which he was the driver, not the gunman.</t>
  </si>
  <si>
    <t>Paul</t>
  </si>
  <si>
    <t>Clark</t>
  </si>
  <si>
    <t>Robert</t>
  </si>
  <si>
    <t>Ehrenberg</t>
  </si>
  <si>
    <t>62, was convicted of two counts of second-degree Murder, and one count of first-degree Robbery and first-degree Burglary.</t>
  </si>
  <si>
    <t>Gilbert</t>
  </si>
  <si>
    <t>76, was convicted of three counts of second-degree Murder and four counts of first-degree Robbery in 1983.</t>
  </si>
  <si>
    <t>Nehru</t>
  </si>
  <si>
    <t>Gumbs</t>
  </si>
  <si>
    <t>36, was convicted of first-degree Manslaughter, and second-degree Criminal Possession of a Weapon and Assault in 2005, crimes he committed at 18 years old.</t>
  </si>
  <si>
    <t>Greg</t>
  </si>
  <si>
    <t>Mingo</t>
  </si>
  <si>
    <t>68, was convicted of four counts of second-degree Murder, first-degree Robbery, first-degree Burglary, and second-degree Criminal Possession of a Weapon</t>
  </si>
  <si>
    <t>Dantie</t>
  </si>
  <si>
    <t>Mitchell</t>
  </si>
  <si>
    <t>41, was convicted of first-degree Robbery, Criminal Use of a Firearm, and Attempt to Knowingly Make/Possess Dangerous Contraband in Prison, two counts of first-degree Attempted Robbery, two counts of second-degree Criminal Possession of a Weapon, and fourth-degree Grand Larceny in 1997 and 2003, including crimes he committed at 17 years old and while homeless.</t>
  </si>
  <si>
    <t>Jon-Adrian</t>
  </si>
  <si>
    <t>Velasquez</t>
  </si>
  <si>
    <t>45, was convicted of second-degree Murder and Attempted Murder, three counts of first-degree Robbery, and first-degree Attempted Robbery, in 199</t>
  </si>
  <si>
    <t>Gus</t>
  </si>
  <si>
    <t>Bethea</t>
  </si>
  <si>
    <t>38, was convicted of Robbery in the First Degree in 2003. Mr. Bethea has served 18 years of a 25-year sentence for two street robberies.</t>
  </si>
  <si>
    <t>Jacinto</t>
  </si>
  <si>
    <t>Cedeno</t>
  </si>
  <si>
    <t>55, was convicted of Criminal Sale of a Controlled Substance in the First Degree, Criminal Possession of a Controlled Substance in the First Degree, Criminal Possession of a Controlled Substance in the Second Degree, and Criminal Possession of a Controlled Substance in the Third Degree in 1996.</t>
  </si>
  <si>
    <t>Theresa</t>
  </si>
  <si>
    <t>Debo</t>
  </si>
  <si>
    <t>64, was convicted of Murder in the Second Degree in 2006. She has served 16 years of a 22 years to life sentence.</t>
  </si>
  <si>
    <t>Joseph</t>
  </si>
  <si>
    <t>Norman</t>
  </si>
  <si>
    <t>60, was convicted of Robbery in the First Degree and Assault in the Second Degree in 2004.</t>
  </si>
  <si>
    <t>Maria</t>
  </si>
  <si>
    <t>Ordonez</t>
  </si>
  <si>
    <t>26, was convicted of Manslaughter in the First Degree in 2018. She has served six years out of a nine-year sentence.</t>
  </si>
  <si>
    <t>Arnold</t>
  </si>
  <si>
    <t>Raimondo</t>
  </si>
  <si>
    <t>70, was convicted of Murder in the Second Degree and Criminal Possession of a Weapon in the Second Degree in 1983.</t>
  </si>
  <si>
    <t>Clifton</t>
  </si>
  <si>
    <t>Williams</t>
  </si>
  <si>
    <t>43, was convicted of Murder in the Second Degree, Attempted Robbery in the Second Degree, Criminal Possession of a Controlled Substance in the Third Degree, and Criminal Possession of a Controlled Substance in the Fourth Degree in 1996 and 1997, crimes he committed at 18-years-old.</t>
  </si>
  <si>
    <t>Dominic</t>
  </si>
  <si>
    <t>Dupont</t>
  </si>
  <si>
    <t>39, has served more than 20 years of a 25- to life sentence for Murder in the Second Degree and Criminal Possession of a Weapon in the Second Degree.</t>
  </si>
  <si>
    <t>Michael</t>
  </si>
  <si>
    <t>Flournoy</t>
  </si>
  <si>
    <t>42, has served 21 years of a 25 to 50-year sentence for Attempted Murder in the 2nd Degree and other charges.</t>
  </si>
  <si>
    <t>Judith</t>
  </si>
  <si>
    <t>67, has served over 35 years of her 75 years to life sentence. On October 14, 1983, she was convicted of Murder in the Second Degree and Robbery in the First Degree in Rockland County for driving the getaway vehicle in a 1981 Brinks armored car robbery.</t>
  </si>
  <si>
    <t>Desmae</t>
  </si>
  <si>
    <t>34, has served almost eight years of his sentence of 10 years in prison following his conviction of Robbery in the Second Degree.</t>
  </si>
  <si>
    <t>Matthew</t>
  </si>
  <si>
    <t>Hattley</t>
  </si>
  <si>
    <t>49, has served over 24 years of his sentence of 25 years to life for Murder in the Second Degree.</t>
  </si>
  <si>
    <t>Charlie</t>
  </si>
  <si>
    <t>Lee</t>
  </si>
  <si>
    <t>73, has served more than 13 years of a 16-year sentence and has no prior criminal history.</t>
  </si>
  <si>
    <t>Felipe</t>
  </si>
  <si>
    <t>Rodriguez</t>
  </si>
  <si>
    <t>51, has served almost 27 years of a 25 to life sentence following his conviction of Murder in the Second Degree and Criminal Possession of a Weapon in the Fourth Degree.</t>
  </si>
  <si>
    <t>Valerie</t>
  </si>
  <si>
    <t>Seeley</t>
  </si>
  <si>
    <t>61, has served 15 years of a 19 to life sentence for Murder in the Second Degree after killing her live-in boyfriend.</t>
  </si>
  <si>
    <t>Jim</t>
  </si>
  <si>
    <t>Whitt</t>
  </si>
  <si>
    <t>50, has served more than 20 years of a 33 1/3 years to life sentence imposed during the late 1990s, under the harsh sentencing guidelines of the old Rockefeller drug laws.</t>
  </si>
  <si>
    <t>Mario</t>
  </si>
  <si>
    <t>Espaillat</t>
  </si>
  <si>
    <t>Second Degree Criminal Possession of a Controlled Substance</t>
  </si>
  <si>
    <t>Correa</t>
  </si>
  <si>
    <t>Criminal Sale of a Controlled Substance in the First Degree and Criminal Sale of a Controlled Substance in the Second Degree</t>
  </si>
  <si>
    <t>Lydia Grace</t>
  </si>
  <si>
    <t>Ortiz</t>
  </si>
  <si>
    <t>70, of Rochester, is currently serving an aggregate sentence of 20 to 25 years in prison with five years of post-release supervision after being convicted in 1989 of Conspiracy, First-degree Criminal Possession of a Controlled Substance, and Third-degree Criminal Possession of a Controlled Substance in Monroe County.</t>
  </si>
  <si>
    <t>43, of the Bronx, was convicted in 2010 of two counts of Criminal Sale of a Controlled Substance in the First Degree and Criminal Sale of a Controlled Substance in the Second Degree in New York County.</t>
  </si>
  <si>
    <t>No applications granted</t>
  </si>
  <si>
    <t>David Patterson</t>
  </si>
  <si>
    <t>John</t>
  </si>
  <si>
    <t>White</t>
  </si>
  <si>
    <t>Manslaughter</t>
  </si>
  <si>
    <t>Joanne</t>
  </si>
  <si>
    <t>Carroll</t>
  </si>
  <si>
    <t>43, is serving a 15 year sentence for robbery.</t>
  </si>
  <si>
    <t>Freddie</t>
  </si>
  <si>
    <t>Warren</t>
  </si>
  <si>
    <t>56, is serving 20 years to life on a drug dealing charge.</t>
  </si>
  <si>
    <t>George Pataki</t>
  </si>
  <si>
    <t>Darryl</t>
  </si>
  <si>
    <t>Best</t>
  </si>
  <si>
    <t>49, 15 years to life on a charge of first-degree possession of a controlled substance.</t>
  </si>
  <si>
    <t>12/242002</t>
  </si>
  <si>
    <t>Charline</t>
  </si>
  <si>
    <t>Brundidge</t>
  </si>
  <si>
    <t>Marsh</t>
  </si>
  <si>
    <t>46, who was sentenced in Nassau County in 1992, made the dean's list while earning a college degree as he served his sentence of 15 years to life.</t>
  </si>
  <si>
    <t>Ernesto</t>
  </si>
  <si>
    <t>Melendez</t>
  </si>
  <si>
    <t>48, who was sentenced to 20 years to life in Manhattan in 1989, earned not only a college degree while behind bars, but also a master's degree from the New York Theological Seminary.</t>
  </si>
  <si>
    <t>Victor</t>
  </si>
  <si>
    <t>Vaughn</t>
  </si>
  <si>
    <t>39, a longtime drug abuser from Brooklyn who was sentenced in 1990 to 15 years to life, has said he wants to be a substance-abuse counselor when released.</t>
  </si>
  <si>
    <t>Linda</t>
  </si>
  <si>
    <t>55, convicted of killing a man she said had terrorized and battered her.</t>
  </si>
  <si>
    <t>Samuel</t>
  </si>
  <si>
    <t>Roldan</t>
  </si>
  <si>
    <t>49, was sentenced on September 28, 1988 in New York County for first-degree criminal sale of a controlled substance.</t>
  </si>
  <si>
    <t>Richard</t>
  </si>
  <si>
    <t>Seager</t>
  </si>
  <si>
    <t>55, was sentenced on March 6, 1987 in Oneida County for first-degree criminal possession of a controlled substance.</t>
  </si>
  <si>
    <t>Elaine</t>
  </si>
  <si>
    <t>Bartlett</t>
  </si>
  <si>
    <t>42, first-degree criminal sale of a controlled substance</t>
  </si>
  <si>
    <t>Bavisotto</t>
  </si>
  <si>
    <t>50, first-degree criminal sale of a controlled substance</t>
  </si>
  <si>
    <t>Arlene</t>
  </si>
  <si>
    <t>Oberg</t>
  </si>
  <si>
    <t>33, first-degree criminal sale of a controlled substance</t>
  </si>
  <si>
    <t>Jan</t>
  </si>
  <si>
    <t>47, first-degree criminal sale of a controlled substance</t>
  </si>
  <si>
    <t>Jose</t>
  </si>
  <si>
    <t>Lamberto</t>
  </si>
  <si>
    <t>Staley</t>
  </si>
  <si>
    <t>Angela</t>
  </si>
  <si>
    <t>Thompson</t>
  </si>
  <si>
    <t xml:space="preserve">Anthony </t>
  </si>
  <si>
    <t>Papa</t>
  </si>
  <si>
    <t>Hugh Carey</t>
  </si>
  <si>
    <t>Chappelle</t>
  </si>
  <si>
    <t>28, of Canandaigua, N.Y., was given just a couple of months to live in March because of his disease.</t>
  </si>
  <si>
    <t>No further data</t>
  </si>
  <si>
    <t>Leonore</t>
  </si>
  <si>
    <t>Coons</t>
  </si>
  <si>
    <t>15 years to life for having killed her husband in 1968, after he had swung a length of pipe at her father.</t>
  </si>
  <si>
    <t>Martin</t>
  </si>
  <si>
    <t>Sostre</t>
  </si>
  <si>
    <t>52 years old, was convicted in Buffalo in 1968 on a narcotics charge that he has contended was a frame‐up.</t>
  </si>
  <si>
    <t>?</t>
  </si>
  <si>
    <t>31‐year‐old man who committed murder at the age of 16 but who has compiled an “exemplary” record as a prisoner.</t>
  </si>
  <si>
    <t>Total Pardons :</t>
  </si>
  <si>
    <t>Devon</t>
  </si>
  <si>
    <t>Cottman</t>
  </si>
  <si>
    <t>49, has lived a crime-free life for 23 years. He is a United States citizen, serves as the primary caretaker to his children, and operates a small business. He was convicted of Criminal Possession of a Controlled Substance in the Third Degree in 2000.</t>
  </si>
  <si>
    <t>Holdemar</t>
  </si>
  <si>
    <t>Cruz</t>
  </si>
  <si>
    <t>41, has lived a crime-free life for 18 years. He is a United States citizen.</t>
  </si>
  <si>
    <t>Vitality</t>
  </si>
  <si>
    <t>Dorum</t>
  </si>
  <si>
    <t>41, has lived a crime-free life for 19 years. He came to the United States as a teenager and has lived here for approximately 24 years.</t>
  </si>
  <si>
    <t>Bernardo</t>
  </si>
  <si>
    <t>Encarnacion</t>
  </si>
  <si>
    <t>70, has lived a crime-free life for 20 years. He has lived in the United States for approximately 25 years and has two children who are United States citizens.</t>
  </si>
  <si>
    <t>Miledys</t>
  </si>
  <si>
    <t>Jett</t>
  </si>
  <si>
    <t>54, has lived a crime-free life for 31 years. She came to the United States as a teenager and has lived here for more than 40 years.</t>
  </si>
  <si>
    <t>Kayode</t>
  </si>
  <si>
    <t>Oseni</t>
  </si>
  <si>
    <t>33, has lived a crime-free life for 13 years. He came to the United States when he was six years old and has now lived here for most of his life.</t>
  </si>
  <si>
    <t>Noel</t>
  </si>
  <si>
    <t>Watson</t>
  </si>
  <si>
    <t>60, has lived a crime-free life for 30 years. He came to the United States in his twenties and has lived here for more than 30 years.</t>
  </si>
  <si>
    <t>Donnell</t>
  </si>
  <si>
    <t>Reed</t>
  </si>
  <si>
    <t>55, has lived a crime-free life for 32 years. He is a United States citizen and military veteran, having first enlisted in the United States Army at age 19.</t>
  </si>
  <si>
    <t>Jose Antonio</t>
  </si>
  <si>
    <t>Reyes</t>
  </si>
  <si>
    <t>48, has lived a crime-free life for 25 years. He is a United States citizen.</t>
  </si>
  <si>
    <t>Justin</t>
  </si>
  <si>
    <t>Riley</t>
  </si>
  <si>
    <t>31, has lived a crime-free life for 14 years. He is a United States citizen.</t>
  </si>
  <si>
    <t>Andres</t>
  </si>
  <si>
    <t>Rivera</t>
  </si>
  <si>
    <t>43, has lived a crime-free life for 22 years. He came to the United States as a teenager, has lived here for more than 30 years, and has child who is a United States citizen.</t>
  </si>
  <si>
    <t xml:space="preserve">Warren </t>
  </si>
  <si>
    <t>Stewart</t>
  </si>
  <si>
    <t>42, has lived a crime-free life for 13 years. He came to the United States when he was a teenager, has lived here for approximately 28 years, and has immediate family members who are United States citizens.</t>
  </si>
  <si>
    <t>Nana</t>
  </si>
  <si>
    <t>Ampaw</t>
  </si>
  <si>
    <t>56, has lived a crime free life for 15 years. She has lived in the United States for approximately 20 years, is married to a United States citizen, and has four children who are all United States citizens or lawful permanent residents. Ms. Ampaw has worked as a home health aide and an assistant for a mental health program while pursuing a degree in social work. Ms. Ampaw was convicted of Falsifying Business Records in the First Degree in 2007. A pardon will help her pursue naturalization to become a United States citizen.</t>
  </si>
  <si>
    <t>Christopher</t>
  </si>
  <si>
    <t>Dyer</t>
  </si>
  <si>
    <t>38, has lived a crime free life for 17 years. He came to the United States when he was seven years old and lived here for approximately 25 years before being deported in 2017 due to his convictions. He is married to a United States citizen and has two United States children, both of whom are minors. Mr. Dyer had been living a crime free life for approximately 10 years when he applied for United States citizenship; the process instead resulted in his deportation, and his family has been separated ever since. Mr. Dyer was convicted of Attempted Robbery in the Second Degree in 2006 and Assault in the Third Degree in 2005. A pardon will help him return to the United States to be reunited with his family and community.</t>
  </si>
  <si>
    <t>Raul</t>
  </si>
  <si>
    <t>Labit</t>
  </si>
  <si>
    <t>64, has lived a crime free life for 32 years. He first came to the United States in the 1980s and has lived here consistently for more than 20 years. He has a child and two grandchildren who are United States citizens, and he operates a contracting business doing renovations and remodeling. He was convicted of Criminal Possession of a Controlled Substance in the Seventh Degree in 1990. A pardon will help him pursue naturalization to become a United States citizen.</t>
  </si>
  <si>
    <t>56, has lived a crime free life for 14 years. He has lived in the United States for more than 33 years and has numerous family members, including his father, two children, and one stepchild, who are United States citizens. Mr. Martin was convicted of Bail Jumping in the Second Degree in 1999 after missing court dates related to charges of which he was later acquitted. A pardon will help him avert the threat of deportation and pursue naturalization to become a United States citizen.</t>
  </si>
  <si>
    <t>Garcia Nunez</t>
  </si>
  <si>
    <t>60, has lived a crime free life for 30 years. He has lived in the United States for more than 40 years, is married to a United States citizen, and has five children who are United States citizens. He was convicted of Attempted Criminal Sale of a Controlled Substance in the Third Degree in 1987 and Attempted Criminal Possession of a Controlled Substance in the Third Degree in 1992. A pardon will help him pursue naturalization to become a United States citizen.</t>
  </si>
  <si>
    <t>Andrew</t>
  </si>
  <si>
    <t>Oxendine</t>
  </si>
  <si>
    <t>63, has lived a crime free life for 41 years. He is a United States citizen and military veteran, having enlisted in the United States Marine Corps at age 17. He served on active duty and as a member of the reserves for several years before being honorably discharged in 1999. Mr. Oxendine also worked for a local housing opportunities commission for approximately three decades before recently retiring. Mr. Oxendine was convicted of Attempted Robbery in the Third Degree in 1982.</t>
  </si>
  <si>
    <t>Ramon</t>
  </si>
  <si>
    <t>Perez</t>
  </si>
  <si>
    <t>58, has lived a crime free life for 31 years. He came to the United States as a teenager and has lived here for more than 30 years. He is married to a United States citizen and has five children and three stepchildren who are all United States citizens. He is an active member of his local community and operates a small business with his wife. He was convicted of Attempted Criminal Sale of a Controlled Substance in the Third Degree and Attempted Criminal Possession of a Controlled Substance in the Fourth Degree in 1991. A pardon will help him pursue naturalization to become a United States citizen.</t>
  </si>
  <si>
    <t>Edelberto</t>
  </si>
  <si>
    <t>Rendon</t>
  </si>
  <si>
    <t>59, has lived a crime free life for 34 years. He has lived in the United States for more than 37 years and has two children who are both United States citizens. He has been employed in the food service industry for more than 30 years and is active in his local community. Mr. Rendon was convicted of Criminal Possession of a Controlled Substance in the Fourth Degree and Criminal Possession of a Controlled Substance in the Seventh Degree in 1989. A pardon will help avert the threat of deportation so that he can remain in the United States with his family and community.</t>
  </si>
  <si>
    <t>Sean</t>
  </si>
  <si>
    <t>Stephen</t>
  </si>
  <si>
    <t>59, has lived a crime free life for 20 years. He came to the United States when he was approximately five years old and has lived here for more than 50 years. He has a child who is a United States citizen and serves as a source of support to several family members. He is an active member of his local community, including through involvement in youth mentorship programs, and he operates a small business. Mr. Stephen was convicted of Criminal Possession of a Controlled Substance in the Third Degree in 2003. A pardon will help avert the threat of deportation so that he can remain in the United States with his family and community.</t>
  </si>
  <si>
    <t>Henry</t>
  </si>
  <si>
    <t>70, has lived a crime free life for 27 years. He has lived in the United States for more than 25 years and is married to a United States citizen; together they have six children and numerous grandchildren who are also United States citizens. Mr. Williams was convicted of Criminal Sale of Marijuana in the Fourth Degree and Disorderly Conduct in 1996. A pardon will help him pursue naturalization to become a United States citizen.</t>
  </si>
  <si>
    <t>Asdrubal</t>
  </si>
  <si>
    <t>Gonzalez</t>
  </si>
  <si>
    <t>64, has lived a crime free life for 30 years. Mr. Gonzalez entered the United States as a Lawful Permanent Resident in 1971 at the age of 13, more than 50 years ago. He has a wife and two daughters who are all U.S. citizens, has been gainfully employed at an engineering firm for close to three decades, and is an active member of his local church community. He was convicted of Attempted Criminal Sale of a Controlled Substance in the Third Degree in 1993 and Attempted Criminal Possession of a Controlled Substance in the Third Degree in 1991. A pardon will help him pursue naturalization to become a United States citizen.</t>
  </si>
  <si>
    <t>Ashan</t>
  </si>
  <si>
    <t>Grant</t>
  </si>
  <si>
    <t>46, has lived a crime free life for 19 years. Mr. Grant, a Canadian citizen and resident, serves as a mentor in his community and operates a small business. He was convicted of Criminal Possession of Marijuana in the Fourth Degree in 2003. A pardon will help Mr. Grant visit his son and other family members living in the United States.</t>
  </si>
  <si>
    <t>Gerson</t>
  </si>
  <si>
    <t>Ramirez</t>
  </si>
  <si>
    <t>36, has lived a crime free life for 13 years. Since his most recent conviction, he has earned a college degree and maintained employment at a restaurant for more than 10 years, now serving as the manager. Mr. Ramirez was brought to the United States when he was approximately 18 months old and has lived in the U.S. for nearly his entire life. Mr. Ramirez was convicted of Aggravated Unlicensed Operation of a Motor Vehicle and Aggravated DWI in 2009, and Driving Without Seatbelt, Following Too Close, Driving While Ability Impaired by Alcohol, and Driving Without License in 2004. A pardon will help Mr. Ramirez avert the threat of deportation and remain in the United States with his wife, infant child, and other U.S. citizen family members.</t>
  </si>
  <si>
    <t>Pawel</t>
  </si>
  <si>
    <t>Sztremer</t>
  </si>
  <si>
    <t>46, has lived a crime free life for 23 years. Mr. Sztremer moved to the United States at 14 years old and has lived here for more than 30 years. He currently owns and operates a landscaping and snow removal business. Mr. Sztremer was convicted of Harassment in 1996, Petit Larceny in 1998, Criminal Mischief in the Fourth Degree in 1998, and Attempted Burglary in the Second Degree in 1999. A pardon will help remove the threat of deportation and help him pursue naturalization to become a United States citizen.</t>
  </si>
  <si>
    <t>Georgia</t>
  </si>
  <si>
    <t>Weir-Demercado</t>
  </si>
  <si>
    <t>49, has lived a crime free life for 27 years and has earned an Associate's Degree, Bachelor's Degree, and a real estate license. She came to the United States at the age of six and has lived in the United States for more than 40 years. She is married to a United States citizen and has three United States citizen children. Ms. Weir-Demercado was convicted of Attempted Criminal Sale of a Controlled Substance in the Third Degree in 1995. A pardon will help her pursue naturalization to become a United States citizen.</t>
  </si>
  <si>
    <t>Antoine</t>
  </si>
  <si>
    <t>39, has lived a crime free life for 14 years. Mr. Antoine came to the United States when he was six years old and lived here for more than 20 years before being deported in 2010 due to his sole conviction for Attempted Criminal Sale of a Controlled Substance in the Third Degree in 2008. His mother is a U.S. citizen and continues to live in the United States. A pardon will help Mr. Antoine return to help care for his aging mother.</t>
  </si>
  <si>
    <t>Franklin</t>
  </si>
  <si>
    <t>Barcacel</t>
  </si>
  <si>
    <t>54, has lived a crime free life for 23 years and is an active member of his local community, volunteering for translation and food distribution programs at local community centers and actively participating in his local church. Mr. Barcacel moved to the United States as a child, has lived here for more than 40 years, and has five children and a grandchild who are all U.S. citizens or Lawful Permanent Residents. Mr. Barcacel was convicted of Criminal Possession of Stolen Property in the Fourth Degree and Tampering With Witness in the Second Degree in 1999. A pardon will help him avoid deportation and remain in the United States with his family.</t>
  </si>
  <si>
    <t>Andres Pauline</t>
  </si>
  <si>
    <t>Castro</t>
  </si>
  <si>
    <t>52, has lived a crime free life for 17 years. He is married to a U.S. citizen and has three U.S. citizen children. He and his wife operate two small businesses in the Bronx and are active members of their local church community. Mr. Paulino Castro was convicted of Attempted Criminal Possession of a Controlled Substance in the Third Degree in 2005. He has lived in the United States for more than 20 years, and a pardon would help him avoid deportation and remain here with his family.</t>
  </si>
  <si>
    <t>Denise Shelly-Ann</t>
  </si>
  <si>
    <t>Carter</t>
  </si>
  <si>
    <t>46, has lived a crime free life for 23 years, works as a home health aide, and is an active member of her local church.</t>
  </si>
  <si>
    <t>Kurt</t>
  </si>
  <si>
    <t>Hawkins</t>
  </si>
  <si>
    <t>54, has lived a crime free life for 31 years and worked for more than a decade at a local public works department. He has two children, two stepchildren, and a grandchild who are all U.S. citizens, including a daughter who serves in the U.S. Army. Mr. Hawkins was convicted of Criminal Possession of a Controlled Substance in the Fifth Degree and Petit Larceny in 1991. A pardon will help him pursue naturalization to become a United States citizen.</t>
  </si>
  <si>
    <t>Lesly</t>
  </si>
  <si>
    <t>Parfait</t>
  </si>
  <si>
    <t>52, has lived a crime free life for 17 years and is employed as a concrete worker. He is active in his local union and has volunteered to teach construction skills to youth in his community. He is married to a U.S. citizen and has two children, four stepchildren, and seven grandchildren, all of whom are U.S. citizens. He is the primary earner and important source of support for his family. Mr. Parfait was convicted of Robbery in the Third Degree in 2005. He came to the United States at age 5 and has lived here for more than 45 years. A pardon will help him avoid deportation and remain in the United States with his family.</t>
  </si>
  <si>
    <t>Brenda Gordillo</t>
  </si>
  <si>
    <t>Plaza</t>
  </si>
  <si>
    <t>57, has lived a crime free life for 17 years and is working to complete a hairdressing and cosmetology program, with a goal of establishing her own salon in the future. She has lived in the United States for more than 35 years. She was convicted of four counts of Criminal Possession of Stolen Property in the Fifth Degree and two counts of Petit Larceny between 1992 and 2005. A pardon will help Ms. Gordillo avoid deportation and remain in the United States.</t>
  </si>
  <si>
    <t>Amir</t>
  </si>
  <si>
    <t>Shaaban</t>
  </si>
  <si>
    <t>45, has lived a crime free life for 14 years and operates a small business with his brother. He is married to a U.S. citizen and is a caretaker to his mother and mother-in-law, both of whom are also U.S. citizens. He moved to the United States as a child and has lived here for more than 30 years. Mr. Shaaban was convicted of Attempted Criminal Sale of a Controlled Substance in the Third Degree in 2008. A pardon will help Mr. Shaaban remain in the United States with his family.Denise Shelly-Ann Carter, 46, has lived a crime free life for 23 years, works as a home health aide, and is an active member of her local church. She has lived in the United States for more than 30 years. She was convicted of Attempted Criminal Sale of a Controlled Substance in the Third Degree, Criminal Possession of a Controlled Substance in the Seventh Degree, and Criminal Facilitation in the Fourth Degree in 1999. A pardon will help Ms. Carter remain in the United States, where she has lived most of her life.</t>
  </si>
  <si>
    <t>Paola Jovana Espinosa</t>
  </si>
  <si>
    <t>Yunda</t>
  </si>
  <si>
    <t>47, has lived a crime free life for 19 years. She has lived in the United States for more than 25 years and is the mother of two U.S. citizen children, one of whom is six years old. She was convicted of two counts of Criminal Possession of Marijuana in the First Degree in 2003. A pardon will help Ms. Espinosa remain in the United States with her children and extended family.</t>
  </si>
  <si>
    <t>Edilberta Reyes</t>
  </si>
  <si>
    <t>Canales</t>
  </si>
  <si>
    <t>56, has lived a crime free life for 12 years and has worked as a home health aide for several years, including throughout the COVID-19 pandemic. She is a survivor of domestic abuse. Ms. Reyes has lived in the United States since fleeing conflict in her home country in 1988. She is the primary caretaker and provider for her son, who is a U.S. citizen. Ms. Reyes was convicted of Criminal Contempt in the Second Degree, Resisting Arrest, Assault in the Third Degree, Endangering the Welfare of a Child, Falsely Reporting an Incident to Law Enforcement in the Third Degree, and Petit Larceny between 2007 and 2009, and Attempted Petit Larceny in 1993. Her convictions between 2007 and 2009 occurred during a period in her life when she was actively trying to escape an abusive relationship. A pardon will help Ms. Reyes avoid deportation, for which she is facing an upcoming hearing, and remain in the United States with her son.</t>
  </si>
  <si>
    <t>Hanley</t>
  </si>
  <si>
    <t>Gomez</t>
  </si>
  <si>
    <t>41, has been crime free for seven years. Mr. Gomez has lived in the United States since he was eight years old, and currently works for a New York City-based meal delivery company. He also volunteers at a local food pantry. Mr. Gomez is also the primary caretaker and provider for his 10-year-old child. He was convicted of Criminal Possession of a Controlled Substance in the Seventh Degree, Resisting Arrest, DWAI, and Attempted Criminal Mischief between 1998 and 2011. A pardon will help ensure Mr. Gomez can remain in the United States with his son and extended family.</t>
  </si>
  <si>
    <t>Faustine</t>
  </si>
  <si>
    <t>60, has been crime free for nine years, has lived in the United States for more than 35 years, and has been married to a U.S. citizen for more than three decades. Mr. Reyes was convicted of Criminal Sale of a Controlled Substance in the Third Degree in 2012. A pardon will help ensure Mr. Reyes can remain in the United States with his wife and safely travel outside the country to visit family abroad without fear of being denied re-entry.</t>
  </si>
  <si>
    <t>Juan</t>
  </si>
  <si>
    <t>Suazo</t>
  </si>
  <si>
    <t>54, has lived a crime free life for 34 years. Mr. Suazo is an active member of his local church and works as a carpenter with a roofing and waterproofing company. He is married to a U.S. citizen, has two U.S. citizen children, and has lived in the United States since 1984. He was convicted of Criminal Possession of a Controlled Substance in the Fifth Degree in 1986. A pardon will help Mr. Suazo obtain a green card and remain in the United States with his family.</t>
  </si>
  <si>
    <t>Orlando Fernandez</t>
  </si>
  <si>
    <t>Taveras</t>
  </si>
  <si>
    <t>46, has lived crime free for 12 years. Mr. Fernandez Taveras came to the United States when he was approximately 16 months old and lived here for more than 30 years before being deported in 2014 due to his convictions. He is married to a U.S. citizen and has a U.S. citizen child, both of whom left the country with him to keep the family together following his deportation. He was convicted of Petit Larceny, Attempted Petit Larceny, Criminal Possession of Stolen Property in the Fifth Degree, Criminal Possession of a Controlled Substance in the Seventh Degree, Criminal Trespass in the Third Degree, Attempted Resisting Arrest, Trespass, and Unauthorized Use of a Vehicle in the Third Degree between 1998 and 2008. A pardon will help Mr. Fernandez Taveras return to the United States with his family, where they would rejoin a large network of U.S. citizen and Lawful Permanent Resident family members.</t>
  </si>
  <si>
    <t>Francisco</t>
  </si>
  <si>
    <t>Vargas</t>
  </si>
  <si>
    <t>53, has lived a crime free life for 18 years. Mr. Vargas has maintained employment as a parking attendant and is an active member of his local church. He has lived in the United States for more than 35 years. He was convicted of Attempted Criminal Sale of a Controlled Substance in the Third Degree and Attempted Offering a False Instrument to File in the Second Degree. A pardon will help Mr. Vargas seek U.S. citizenship and remain in the United States with his other U.S. citizen family members, including his children, partner, mother, and siblings.</t>
  </si>
  <si>
    <t>Ana Sanchez</t>
  </si>
  <si>
    <t>Ventura</t>
  </si>
  <si>
    <t>64, has lived a crime free life for 19 years, and is an active member of her local community, including a local senior center where she has organized trips and helped sew and donate hundreds of masks during the COVID-19 pandemic. Ms. Sanchez has three children and several grandchildren, and has lived in the United States for more than 45 years. She was convicted of Attempted Criminal Possession of a Controlled Substance in the Third Degree in 2002. A pardon will help her remain here with her family and community.</t>
  </si>
  <si>
    <t>Vinas</t>
  </si>
  <si>
    <t>56, has lived a crime free life for 30 years, and has been gainfully employed at a garage management company in New York City for close to 25 years. He has lived in the United States for over 40 years, is married to a U.S. citizen, and is the father of five U.S. citizen children, one of whom is a U.S. Army veteran. He was convicted of two counts of Criminal Facilitation in the Second Degree in 1991. A pardon will help Mr. Vinas obtain a green card so that he can remain in the United States with his family.</t>
  </si>
  <si>
    <t>Sandra</t>
  </si>
  <si>
    <t>65, has lived a crime free life for 25 years and has worked as a home health aide since 1999. She has lived in the United States for more than 50 years and has two children and several grandchildren. She was convicted of Prostitution, Criminal Sale of a Controlled Substance in the Fourth Degree, Criminal Possession of a Controlled Substance in the Seventh Degree, Attempted Criminal Possession of Stolen Property in the Fifth Degree, and Loitering Unlawful Use of a Controlled Substance between 1974 and 1996. A pardon will help ensure she can remain in the United States with her family.</t>
  </si>
  <si>
    <t>Ivelisse</t>
  </si>
  <si>
    <t>Castillo</t>
  </si>
  <si>
    <t>60, was convicted of third-degree Attempted Criminal Possession of a Controlled Substance in 2001.</t>
  </si>
  <si>
    <t>Miriam</t>
  </si>
  <si>
    <t>40, was convicted of third-degree Attempted Criminal Sale of a Controlled Substance in 1999, when she was 17 years old and working at a coffee shop run by a drug dealer who sought out and took advantage of undocumented children, and Disorderly Conduct in 2016.</t>
  </si>
  <si>
    <t>James</t>
  </si>
  <si>
    <t>Pamphile</t>
  </si>
  <si>
    <t>44, was convicted of first-degree Bail Jumping and first-degree Attempted Assault in 2013, and third-degree Assault in 2011.</t>
  </si>
  <si>
    <t>Lawrence</t>
  </si>
  <si>
    <t>Penn</t>
  </si>
  <si>
    <t>51, pled guilty to first-degree Falsifying Business Records in 2015 and was incarcerated for two years.</t>
  </si>
  <si>
    <t>Jorge</t>
  </si>
  <si>
    <t>Quinones</t>
  </si>
  <si>
    <t>47, was convicted of third-degree Attempted Criminal Sale of a Controlled Substance in 1996.</t>
  </si>
  <si>
    <t>Catherine</t>
  </si>
  <si>
    <t>Valdez</t>
  </si>
  <si>
    <t>35, was convicted of second-degree Attempted Robbery in 2002 when she was 16 years old. Since her conviction, Ms. Valdez has worked as a professional caregiver, earning a Personal Care Assistant certificate.</t>
  </si>
  <si>
    <t>Lorena</t>
  </si>
  <si>
    <t>Borjas</t>
  </si>
  <si>
    <t>57, was convicted of Criminal Facilitation in the Fourth Degree in 1994, as a result of being entrapped as a victim of human trafficking.</t>
  </si>
  <si>
    <t>Cavallo</t>
  </si>
  <si>
    <t>66, was convicted of criminal sale of a controlled substance in the third degree in 1977.</t>
  </si>
  <si>
    <t>Freddy</t>
  </si>
  <si>
    <t>53, was convicted of Criminal Sale of a Controlled Substance in the Third Degree and Attempted Criminal Sale of a Controlled Substance in the Third Degree in 1993.</t>
  </si>
  <si>
    <t>Shilov</t>
  </si>
  <si>
    <t>35, was convicted of Petit Larceny and Attempted Petit Larceny, from 2000 to 2004.</t>
  </si>
  <si>
    <t>Mary</t>
  </si>
  <si>
    <t>Snook Downing</t>
  </si>
  <si>
    <t>58, was convicted of possession of stolen property and unauthorized use of a motor vehicle in 1987.</t>
  </si>
  <si>
    <t>*</t>
  </si>
  <si>
    <t>Through the Youth Pardon Program, launched in 2015, Governor Cuomo today issued conditional pardons to 39 deserving New Yorkers convicted at age 16 or 17 of crimes, including misdemeanors and non-violent offenses.</t>
  </si>
  <si>
    <t>DeJuan</t>
  </si>
  <si>
    <t>Callender</t>
  </si>
  <si>
    <t>42, was convicted of disorderly conduct and unlicensed operation of a vehicle resulting from an incident in 2002.</t>
  </si>
  <si>
    <t>Jessica</t>
  </si>
  <si>
    <t>Ennist</t>
  </si>
  <si>
    <t>33, was the subject of several convictions for Driving Under the Influence and Assault in the Third Degree during a period of heavy drinking that ultimately led her to drop out of community college.</t>
  </si>
  <si>
    <t>Kelly</t>
  </si>
  <si>
    <t>Jarrett</t>
  </si>
  <si>
    <t>64, was convicted of Murder and Robbery in the First Degree in 1977; subsequently, she was convicted of Escape in the Second Degree and Attempted Escape in the First Degree in 1979.</t>
  </si>
  <si>
    <t>62, was convicted of Criminal Sale of a Controlled Substance in the First Degree and Criminal Possession of a Controlled Substance in the First Degree in 1985.</t>
  </si>
  <si>
    <t>Pine</t>
  </si>
  <si>
    <t>63, was convicted of Attempted Criminal Sale of a Controlled Substance in the Sixth Degree, for which he was sentenced to a five-year term of probation.</t>
  </si>
  <si>
    <t>101 youth pardons https://web.archive.org/web/20170603151225/https://www.governor.ny.gov/news/governor-cuomo-grants-first-ever-conditional-pardons-more-100-new-yorkers-convicted-crimes-ages</t>
  </si>
  <si>
    <t>??/??2015</t>
  </si>
  <si>
    <t>J'Adore</t>
  </si>
  <si>
    <t>Mattis</t>
  </si>
  <si>
    <t>3rd Degree Robbery</t>
  </si>
  <si>
    <t>Patrick</t>
  </si>
  <si>
    <t>Oliver</t>
  </si>
  <si>
    <t>43, of Jersey City, NJ, was convicted in 1993 of Third-degree Attempted Criminal Sale of a Controlled Substance in Suffolk County.</t>
  </si>
  <si>
    <t>Wilson</t>
  </si>
  <si>
    <t>66, of New York City, was convicted after a jury trial in 2006 in New York County of Criminal Possession of a Controlled Substance in the Seventh Degree, Attempted Tampering with Physical Evidence, Resisting Arrest, and Obstructing Governmental Administration in the Second Degree.</t>
  </si>
  <si>
    <t>??/??2014</t>
  </si>
  <si>
    <t>Antonipo</t>
  </si>
  <si>
    <t>Argibay</t>
  </si>
  <si>
    <t>Criminal Sale of a Controlled Substance in the Second Degree</t>
  </si>
  <si>
    <t>Alvaro Khalil</t>
  </si>
  <si>
    <t>Cumberbatch</t>
  </si>
  <si>
    <t>Robbery in the First Degree</t>
  </si>
  <si>
    <t>12/312013</t>
  </si>
  <si>
    <t>Seymour</t>
  </si>
  <si>
    <t>Hunter</t>
  </si>
  <si>
    <t>Third-Degree Attempted Sale of a Controlled Substance</t>
  </si>
  <si>
    <t>Gerardo</t>
  </si>
  <si>
    <t>Alvarez</t>
  </si>
  <si>
    <t>Seventh-Degree Criminal Possession of a Controlled Substance</t>
  </si>
  <si>
    <t>Rocco</t>
  </si>
  <si>
    <t>Paciello</t>
  </si>
  <si>
    <t>Third-Degree Statutory Rape</t>
  </si>
  <si>
    <t>Tressan</t>
  </si>
  <si>
    <t>Allen</t>
  </si>
  <si>
    <t>Attempted Possession of Marijuana</t>
  </si>
  <si>
    <t>Luz Marina</t>
  </si>
  <si>
    <t>Camacho</t>
  </si>
  <si>
    <t>Sale and Possession of a Controlled Substance</t>
  </si>
  <si>
    <t>Ian</t>
  </si>
  <si>
    <t>Attempted Sale of Stolen Property</t>
  </si>
  <si>
    <t>Edouard</t>
  </si>
  <si>
    <t>Colas</t>
  </si>
  <si>
    <t>Attempted Burglary</t>
  </si>
  <si>
    <t>Vijay</t>
  </si>
  <si>
    <t>Dandapani</t>
  </si>
  <si>
    <t>Grand Larceny</t>
  </si>
  <si>
    <t>Randy Valentin</t>
  </si>
  <si>
    <t>De La Cruz</t>
  </si>
  <si>
    <t>Assault</t>
  </si>
  <si>
    <t>Moya de Leon</t>
  </si>
  <si>
    <t>Possession of a Controlled Substance</t>
  </si>
  <si>
    <t>Neil</t>
  </si>
  <si>
    <t>Drew</t>
  </si>
  <si>
    <t>Salvador</t>
  </si>
  <si>
    <t>Engles R.</t>
  </si>
  <si>
    <t>Guzman</t>
  </si>
  <si>
    <t>Robbery</t>
  </si>
  <si>
    <t>Carol</t>
  </si>
  <si>
    <t>Hamilton</t>
  </si>
  <si>
    <t>Possession of Marijuana</t>
  </si>
  <si>
    <t>Olusegun Ola</t>
  </si>
  <si>
    <t>Johnson</t>
  </si>
  <si>
    <t>Forgery</t>
  </si>
  <si>
    <t>Walter</t>
  </si>
  <si>
    <t>Mills</t>
  </si>
  <si>
    <t>Attempted Possession of a Firearm</t>
  </si>
  <si>
    <t>Pedro</t>
  </si>
  <si>
    <t>Montesquieu</t>
  </si>
  <si>
    <t>Sale of a Controlled Substance</t>
  </si>
  <si>
    <t>Frances</t>
  </si>
  <si>
    <t>Novoa</t>
  </si>
  <si>
    <t>Attempted Petit Larceny</t>
  </si>
  <si>
    <t>Palma</t>
  </si>
  <si>
    <t>Reckless Endangerment</t>
  </si>
  <si>
    <t>Parker</t>
  </si>
  <si>
    <t>Juan P.</t>
  </si>
  <si>
    <t>Misdemeanors</t>
  </si>
  <si>
    <t>Laurenton</t>
  </si>
  <si>
    <t>Rhodon</t>
  </si>
  <si>
    <t>Lucila</t>
  </si>
  <si>
    <t>Attempted Grand Larceny</t>
  </si>
  <si>
    <t>Fredy C.</t>
  </si>
  <si>
    <t>Rojas</t>
  </si>
  <si>
    <t xml:space="preserve">Jose </t>
  </si>
  <si>
    <t>Sanchez</t>
  </si>
  <si>
    <t>Melbourne</t>
  </si>
  <si>
    <t>Sinclair</t>
  </si>
  <si>
    <t>Sale of marijuana</t>
  </si>
  <si>
    <t>Eligio</t>
  </si>
  <si>
    <t>Valerio</t>
  </si>
  <si>
    <t>Kevin</t>
  </si>
  <si>
    <t>Auyeung</t>
  </si>
  <si>
    <t>Benitez</t>
  </si>
  <si>
    <t>Rockefeller Drug Laws</t>
  </si>
  <si>
    <t>Sanjay</t>
  </si>
  <si>
    <t>Broomfield</t>
  </si>
  <si>
    <t>Weapon Possession</t>
  </si>
  <si>
    <t>Marlon Oscar</t>
  </si>
  <si>
    <t>Powell</t>
  </si>
  <si>
    <t>Darshini</t>
  </si>
  <si>
    <t>Ramsaran</t>
  </si>
  <si>
    <t>Deborah</t>
  </si>
  <si>
    <t>Salako–Nation</t>
  </si>
  <si>
    <t>June</t>
  </si>
  <si>
    <t>Benson</t>
  </si>
  <si>
    <t>Rape Accessory</t>
  </si>
  <si>
    <t>Qing</t>
  </si>
  <si>
    <t>Hong Wu</t>
  </si>
  <si>
    <t>Osvaldo</t>
  </si>
  <si>
    <t>Hernandez</t>
  </si>
  <si>
    <t>Eliot Spitzer</t>
  </si>
  <si>
    <t>Frederick</t>
  </si>
  <si>
    <t>Lake</t>
  </si>
  <si>
    <t>Entered the United States legally in 1987, but was facing deportation under a federal statute that calls for the removal of a lawful alien who is convicted of an aggravated felony.</t>
  </si>
  <si>
    <t>https://www.nytimes.com/1975/12/25/archives/clemency-given-to-sostre-and-7-sakharov-and-others-urged-governor.html</t>
  </si>
  <si>
    <t>https://www.nytimes.com/1975/12/26/archives/governors-clemency.html?searchResultPosition=38</t>
  </si>
  <si>
    <t>https://www.nytimes.com/1981/11/26/nyregion/carey-gives-clemency-to-11-jailed-on-drugs.html</t>
  </si>
  <si>
    <t>https://www.upi.com/Archives/1982/05/13/A-convict-who-was-granted-clemency-by-Gov-Hugh/4887390110400/</t>
  </si>
  <si>
    <t>https://www.nytimes.com/1997/12/25/nyregion/governor-commutes-sentences-of-3-convicted-on-drug-charges.html</t>
  </si>
  <si>
    <t>https://www.nytimes.com/1999/12/24/nyregion/4-first-time-drug-offenders-granted-clemency-by-pataki.html</t>
  </si>
  <si>
    <t>https://www.nytimes.com/2002/12/25/nyregion/pataki-grants-clemency-to-4-in-prison.html</t>
  </si>
  <si>
    <t>https://www.nytimes.com/2005/12/25/nyregion/drug-convict-wins-grant-of-clemency-from-pataki.html</t>
  </si>
  <si>
    <t>https://www.nytimes.com/2007/12/22/nyregion/22pardon.html</t>
  </si>
  <si>
    <t>https://observer.com/2008/12/paterson-grants-two-clemencies/</t>
  </si>
  <si>
    <t>https://www.theroot.com/freed-from-prison-but-still-in-pain-1790882144</t>
  </si>
  <si>
    <t>https://abcnews.go.com/US/ny-gov-david-paterson-commutes-john-whites-sentence/story?id=12471371</t>
  </si>
  <si>
    <t>https://www.nytimes.com/2014/01/01/nyregion/cuomo-issues-pardons-for-first-time-in-office.html</t>
  </si>
  <si>
    <t>https://wayback.archive-it.org/8438/20210820005333/https://www.governor.ny.gov/news/governor-cuomo-grants-clemency-21-individuals</t>
  </si>
  <si>
    <t>https://wayback.archive-it.org/8438/20070112075501/http://convwebdocs.oclc.org/0000057321-000002609044</t>
  </si>
  <si>
    <t>https://wayback.archive-it.org/8438/20070112075148/http://convwebdocs.oclc.org/0000057321-000002607622</t>
  </si>
  <si>
    <t>https://ocfs.ny.gov/main/news/article.php?idx=1436</t>
  </si>
  <si>
    <t>https://www.immigrantdefenseproject.org/wp-content/uploads/pardon-release-20171228.pdf</t>
  </si>
  <si>
    <t>https://www.rochesterfirst.com/news/local-news/cuomo-grants-clemency-to-61-individuals/</t>
  </si>
  <si>
    <t>https://wayback.archive-it.org/8438/20211005043024/https://gov56.ny.gov/news/governor-cuomo-grants-clemency-four-individuals-and-launches-pro-bono-clemency-program</t>
  </si>
  <si>
    <t>New York States grants less clemencies per incarcerated person than any other state its size</t>
  </si>
  <si>
    <t>older history of prison populations</t>
  </si>
  <si>
    <t>I have no idea where to start with this right now</t>
  </si>
  <si>
    <t>https://bjs.ojp.gov/library/publications/historical-statistics-prisoners-state-and-federal-institutions-yearend-1925-86</t>
  </si>
  <si>
    <t>I wonder if we make a map of the US and fill in some numbers? this feels like it would end up too text-dense and hard to read</t>
  </si>
  <si>
    <t>Rate of Clemencies granted (in New York) has gone down by _____ % (over ____ years)</t>
  </si>
  <si>
    <t>Can I suggest instead that we graph the number of clemencies vs the number of people in prison?</t>
  </si>
  <si>
    <t>Graph showing other Clemency Rates Compared to New York</t>
  </si>
  <si>
    <t>In the 1980s and 90s, New York State's courts sentenced people to longer sentences than in any other time in history. Many of those sentenced are still incarcerated.</t>
  </si>
  <si>
    <t>This is not quite the right way to show this but feels closer (it took 3 tabs in another spreadsheet to make this, happy to share)</t>
  </si>
  <si>
    <t>Graph Showing Incarceration Rates by Race.</t>
  </si>
  <si>
    <t>https://www.prisonpolicy.org/graphs/rates2021/NY_Rates_2021.html</t>
  </si>
  <si>
    <t>i can see if the sources are updated and try to make this for 2023 but basically we want this graph maybe?</t>
  </si>
  <si>
    <t>https://www.prisonpolicy.org/graphs/disparities2021/NY_racial_disparities_2021.html</t>
  </si>
  <si>
    <t>alternately this</t>
  </si>
  <si>
    <t>https://trends.vera.org/state/NY</t>
  </si>
  <si>
    <t>this was almost useful but the most severe thing they break out is "sentenced to prison"</t>
  </si>
  <si>
    <t>https://app.powerbigov.us/view?r=eyJrIjoiMGQwYWFjMmYtNTE0Ni00YmZhLTg4MmYtMzczYjVkMzYxNjM5IiwidCI6IjM0NTZmZTkyLWNiZDEtNDA2ZC1iNWEzLTUzNjRiZWMwYTgzMyJ9</t>
  </si>
  <si>
    <r>
      <rPr/>
      <t xml:space="preserve">prison population in NY state source </t>
    </r>
    <r>
      <rPr>
        <color rgb="FF1155CC"/>
        <u/>
      </rPr>
      <t>https://csat.bjs.ojp.gov/advanced-query</t>
    </r>
  </si>
  <si>
    <t>State</t>
  </si>
  <si>
    <t>NEW YORK</t>
  </si>
  <si>
    <t>2019 inmates, by year admitted</t>
  </si>
  <si>
    <t>update - the data is pretty incomplete esp with folks incarcerated before about 2000</t>
  </si>
  <si>
    <t>from here ("offender characteristics" and filter by age of release, and NY state, can do all years back to 1999)</t>
  </si>
  <si>
    <t>https://csat.bjs.ojp.gov/advanced-query</t>
  </si>
  <si>
    <t>18-24 years</t>
  </si>
  <si>
    <t>25-34 years</t>
  </si>
  <si>
    <t>35-44 years</t>
  </si>
  <si>
    <t>45-54 years</t>
  </si>
  <si>
    <t>55+ years</t>
  </si>
  <si>
    <t>2019, age at release</t>
  </si>
  <si>
    <t>2019 releases, age at admission</t>
  </si>
  <si>
    <t>historical data here, slightly digitized</t>
  </si>
  <si>
    <t>https://www.ojp.gov/pdffiles1/Digitization/111098NCJRS.pdf</t>
  </si>
  <si>
    <t>New</t>
  </si>
  <si>
    <t>York</t>
  </si>
  <si>
    <t>uses 1978-prsent data from here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</si>
</sst>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numFmt numFmtId="165" formatCode="mm/dd/yyyy"/>
    <numFmt numFmtId="166" formatCode="m/d/yyyy"/>
  </numFmts>
  <fonts count="31">
    <font>
      <sz val="10.0"/>
      <color rgb="FF000000"/>
      <name val="Arial"/>
      <scheme val="minor"/>
    </font>
    <font>
      <b/>
      <sz val="12.0"/>
      <color rgb="FF000000"/>
      <name val="Söhne"/>
    </font>
    <font>
      <b/>
      <sz val="11.0"/>
      <color theme="1"/>
      <name val="Arial"/>
      <scheme val="minor"/>
    </font>
    <font>
      <sz val="11.0"/>
      <color theme="1"/>
      <name val="Arial"/>
    </font>
    <font>
      <sz val="11.0"/>
      <color theme="1"/>
      <name val="Arial"/>
      <scheme val="minor"/>
    </font>
    <font>
      <b/>
      <sz val="11.0"/>
      <color theme="1"/>
      <name val="Arial"/>
    </font>
    <font/>
    <font>
      <b/>
      <sz val="11.0"/>
      <color rgb="FF000000"/>
      <name val="&quot;Google Sans Mono&quot;"/>
    </font>
    <font>
      <sz val="9.0"/>
      <color rgb="FF000000"/>
      <name val="&quot;Google Sans Mono&quot;"/>
    </font>
    <font>
      <u/>
      <sz val="11.0"/>
      <color rgb="FF0000FF"/>
      <name val="Arial"/>
    </font>
    <font>
      <u/>
      <sz val="11.0"/>
      <color rgb="FF0000FF"/>
    </font>
    <font>
      <u/>
      <sz val="11.0"/>
      <color rgb="FF0000FF"/>
      <name val="Arial"/>
    </font>
    <font>
      <u/>
      <sz val="11.0"/>
      <color rgb="FF0000FF"/>
      <name val="Arial"/>
    </font>
    <font>
      <color theme="1"/>
      <name val="Arial"/>
    </font>
    <font>
      <color theme="1"/>
      <name val="Arial"/>
      <scheme val="minor"/>
    </font>
    <font>
      <color rgb="FF4C4C4C"/>
      <name val="Futura"/>
    </font>
    <font>
      <color rgb="FF4C4C4C"/>
      <name val="Arial"/>
    </font>
    <font>
      <color rgb="FF4C4C4C"/>
      <name val="Georgia"/>
    </font>
    <font>
      <u/>
      <sz val="9.0"/>
      <color rgb="FF000000"/>
      <name val="&quot;Google Sans&quot;"/>
    </font>
    <font>
      <u/>
      <color rgb="FF0000FF"/>
    </font>
    <font>
      <u/>
      <color rgb="FFDCA10D"/>
    </font>
    <font>
      <sz val="11.0"/>
      <color rgb="FF4C4C4C"/>
      <name val="Georgia"/>
    </font>
    <font>
      <u/>
      <color rgb="FF0000FF"/>
    </font>
    <font>
      <b/>
      <sz val="11.0"/>
      <color rgb="FF000000"/>
      <name val="Arial"/>
      <scheme val="minor"/>
    </font>
    <font>
      <sz val="11.0"/>
      <color rgb="FF000000"/>
      <name val="Arial"/>
      <scheme val="minor"/>
    </font>
    <font>
      <sz val="11.0"/>
      <color rgb="FF000000"/>
      <name val="&quot;Proxima Nova&quot;"/>
    </font>
    <font>
      <sz val="12.0"/>
      <color rgb="FF000000"/>
      <name val="&quot;Proxima Nova&quot;"/>
    </font>
    <font>
      <u/>
      <sz val="10.0"/>
      <color rgb="FF1155CC"/>
      <name val="Arial"/>
    </font>
    <font>
      <color rgb="FF222222"/>
      <name val="Arial"/>
    </font>
    <font>
      <sz val="11.0"/>
      <color rgb="FFFFFFFF"/>
      <name val="Calibri"/>
    </font>
    <font>
      <sz val="11.0"/>
      <color rgb="FF000000"/>
      <name val="Calibri"/>
    </font>
  </fonts>
  <fills count="14">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E6B8AF"/>
        <bgColor rgb="FFE6B8AF"/>
      </patternFill>
    </fill>
    <fill>
      <patternFill patternType="solid">
        <fgColor rgb="FFFFFFFF"/>
        <bgColor rgb="FFFFFFFF"/>
      </patternFill>
    </fill>
    <fill>
      <patternFill patternType="solid">
        <fgColor rgb="FFEFEFEF"/>
        <bgColor rgb="FFEFEFEF"/>
      </patternFill>
    </fill>
    <fill>
      <patternFill patternType="solid">
        <fgColor rgb="FF9FC5E8"/>
        <bgColor rgb="FF9FC5E8"/>
      </patternFill>
    </fill>
    <fill>
      <patternFill patternType="solid">
        <fgColor rgb="FFF6B26B"/>
        <bgColor rgb="FFF6B26B"/>
      </patternFill>
    </fill>
    <fill>
      <patternFill patternType="solid">
        <fgColor rgb="FFCCCCCC"/>
        <bgColor rgb="FFCCCCCC"/>
      </patternFill>
    </fill>
    <fill>
      <patternFill patternType="solid">
        <fgColor rgb="FF7A7A7A"/>
        <bgColor rgb="FF7A7A7A"/>
      </patternFill>
    </fill>
  </fills>
  <borders count="37">
    <border/>
    <border>
      <right style="thick">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thick">
        <color rgb="FF000000"/>
      </right>
      <top style="thin">
        <color rgb="FF000000"/>
      </top>
    </border>
    <border>
      <left style="thick">
        <color rgb="FF000000"/>
      </left>
      <top style="thin">
        <color rgb="FF000000"/>
      </top>
    </border>
    <border>
      <top style="thin">
        <color rgb="FF000000"/>
      </top>
    </border>
    <border>
      <right style="thick">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rder>
    <border>
      <left style="thin">
        <color rgb="FF000000"/>
      </left>
      <right style="medium">
        <color rgb="FF000000"/>
      </right>
    </border>
    <border>
      <right style="thick">
        <color rgb="FF000000"/>
      </right>
      <bottom style="thin">
        <color rgb="FF000000"/>
      </bottom>
    </border>
    <border>
      <left style="thick">
        <color rgb="FF000000"/>
      </left>
      <bottom style="thin">
        <color rgb="FF000000"/>
      </bottom>
    </border>
    <border>
      <right style="thin">
        <color rgb="FF000000"/>
      </right>
    </border>
    <border>
      <left style="thick">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ck">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right style="medium">
        <color rgb="FF000000"/>
      </right>
      <bottom style="thin">
        <color rgb="FF000000"/>
      </bottom>
    </border>
    <border>
      <left style="thin">
        <color rgb="FFE0E0E0"/>
      </left>
      <right style="thin">
        <color rgb="FFE0E0E0"/>
      </right>
      <top style="thin">
        <color rgb="FFE0E0E0"/>
      </top>
      <bottom style="thin">
        <color rgb="FFE0E0E0"/>
      </bottom>
    </border>
    <border>
      <left style="thin">
        <color rgb="FF000000"/>
      </left>
      <top style="thin">
        <color rgb="FF000000"/>
      </top>
      <bottom style="thin">
        <color rgb="FF000000"/>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3" fontId="3" numFmtId="0" xfId="0" applyAlignment="1" applyFill="1" applyFont="1">
      <alignment horizontal="left" readingOrder="0"/>
    </xf>
    <xf borderId="0" fillId="3" fontId="3" numFmtId="0" xfId="0" applyAlignment="1" applyFont="1">
      <alignment horizontal="left"/>
    </xf>
    <xf borderId="0" fillId="3" fontId="4" numFmtId="3" xfId="0" applyAlignment="1" applyFont="1" applyNumberFormat="1">
      <alignment horizontal="center" readingOrder="0"/>
    </xf>
    <xf borderId="0" fillId="3" fontId="4" numFmtId="0" xfId="0" applyAlignment="1" applyFont="1">
      <alignment horizontal="center" readingOrder="0"/>
    </xf>
    <xf borderId="0" fillId="3" fontId="4" numFmtId="0" xfId="0" applyFont="1"/>
    <xf borderId="0" fillId="0" fontId="3" numFmtId="0" xfId="0" applyAlignment="1" applyFont="1">
      <alignment horizontal="left" readingOrder="0"/>
    </xf>
    <xf borderId="0" fillId="0" fontId="3" numFmtId="0" xfId="0" applyAlignment="1" applyFont="1">
      <alignment horizontal="left"/>
    </xf>
    <xf borderId="0" fillId="0" fontId="4" numFmtId="3" xfId="0" applyAlignment="1" applyFont="1" applyNumberFormat="1">
      <alignment horizontal="center" readingOrder="0"/>
    </xf>
    <xf borderId="0" fillId="0" fontId="4" numFmtId="0" xfId="0" applyAlignment="1" applyFont="1">
      <alignment horizontal="center" readingOrder="0"/>
    </xf>
    <xf borderId="0" fillId="0" fontId="4" numFmtId="0" xfId="0" applyAlignment="1" applyFont="1">
      <alignment readingOrder="0"/>
    </xf>
    <xf borderId="0" fillId="0" fontId="4" numFmtId="0" xfId="0" applyFont="1"/>
    <xf borderId="0" fillId="3" fontId="3" numFmtId="0" xfId="0" applyAlignment="1" applyFont="1">
      <alignment horizontal="left" readingOrder="0" vertical="bottom"/>
    </xf>
    <xf borderId="0" fillId="3" fontId="3" numFmtId="0" xfId="0" applyAlignment="1" applyFont="1">
      <alignment horizontal="left" vertical="bottom"/>
    </xf>
    <xf borderId="0" fillId="0" fontId="3" numFmtId="0" xfId="0" applyAlignment="1" applyFont="1">
      <alignment horizontal="left" readingOrder="0" vertical="bottom"/>
    </xf>
    <xf borderId="0" fillId="0" fontId="3" numFmtId="0" xfId="0" applyAlignment="1" applyFont="1">
      <alignment horizontal="left" vertical="bottom"/>
    </xf>
    <xf borderId="0" fillId="0" fontId="4" numFmtId="0" xfId="0" applyAlignment="1" applyFont="1">
      <alignment horizontal="left" readingOrder="0"/>
    </xf>
    <xf borderId="0" fillId="3" fontId="4" numFmtId="0" xfId="0" applyAlignment="1" applyFont="1">
      <alignment horizontal="left" readingOrder="0"/>
    </xf>
    <xf borderId="0" fillId="3" fontId="3" numFmtId="0" xfId="0" applyAlignment="1" applyFont="1">
      <alignment horizontal="center" readingOrder="0"/>
    </xf>
    <xf borderId="0" fillId="0" fontId="4" numFmtId="0" xfId="0" applyAlignment="1" applyFont="1">
      <alignment horizontal="left"/>
    </xf>
    <xf borderId="0" fillId="0" fontId="4" numFmtId="0" xfId="0" applyAlignment="1" applyFont="1">
      <alignment horizontal="center"/>
    </xf>
    <xf borderId="0" fillId="2" fontId="3" numFmtId="0" xfId="0" applyAlignment="1" applyFont="1">
      <alignment horizontal="center" readingOrder="0" vertical="center"/>
    </xf>
    <xf borderId="0" fillId="0" fontId="5" numFmtId="0" xfId="0" applyAlignment="1" applyFont="1">
      <alignment horizontal="center"/>
    </xf>
    <xf borderId="1" fillId="0" fontId="6" numFmtId="0" xfId="0" applyBorder="1" applyFont="1"/>
    <xf borderId="2" fillId="0" fontId="5" numFmtId="0" xfId="0" applyAlignment="1" applyBorder="1" applyFont="1">
      <alignment horizontal="left"/>
    </xf>
    <xf borderId="2" fillId="0" fontId="6" numFmtId="0" xfId="0" applyBorder="1" applyFont="1"/>
    <xf borderId="3" fillId="0" fontId="6" numFmtId="0" xfId="0" applyBorder="1" applyFont="1"/>
    <xf borderId="4" fillId="0" fontId="5" numFmtId="0" xfId="0" applyAlignment="1" applyBorder="1" applyFont="1">
      <alignment horizontal="center" vertical="center"/>
    </xf>
    <xf borderId="5" fillId="0" fontId="5" numFmtId="0" xfId="0" applyAlignment="1" applyBorder="1" applyFont="1">
      <alignment horizontal="center" vertical="center"/>
    </xf>
    <xf borderId="6" fillId="4" fontId="5" numFmtId="0" xfId="0" applyAlignment="1" applyBorder="1" applyFill="1" applyFont="1">
      <alignment horizontal="center" readingOrder="0" shrinkToFit="0" vertical="center" wrapText="1"/>
    </xf>
    <xf borderId="7" fillId="5" fontId="5" numFmtId="0" xfId="0" applyAlignment="1" applyBorder="1" applyFill="1" applyFont="1">
      <alignment horizontal="center" readingOrder="0" shrinkToFit="0" vertical="center" wrapText="1"/>
    </xf>
    <xf borderId="6" fillId="0" fontId="6" numFmtId="0" xfId="0" applyBorder="1" applyFont="1"/>
    <xf borderId="8" fillId="6" fontId="5" numFmtId="0" xfId="0" applyAlignment="1" applyBorder="1" applyFill="1" applyFont="1">
      <alignment horizontal="center" readingOrder="0" vertical="center"/>
    </xf>
    <xf borderId="6" fillId="7" fontId="5" numFmtId="0" xfId="0" applyAlignment="1" applyBorder="1" applyFill="1" applyFont="1">
      <alignment horizontal="center" readingOrder="0" shrinkToFit="0" vertical="center" wrapText="1"/>
    </xf>
    <xf borderId="9" fillId="0" fontId="5" numFmtId="0" xfId="0" applyAlignment="1" applyBorder="1" applyFont="1">
      <alignment horizontal="center" shrinkToFit="0" vertical="center" wrapText="1"/>
    </xf>
    <xf borderId="10" fillId="0" fontId="5" numFmtId="164" xfId="0" applyAlignment="1" applyBorder="1" applyFont="1" applyNumberFormat="1">
      <alignment horizontal="left" shrinkToFit="0" vertical="center" wrapText="0"/>
    </xf>
    <xf borderId="10" fillId="0" fontId="6" numFmtId="0" xfId="0" applyBorder="1" applyFont="1"/>
    <xf borderId="11" fillId="0" fontId="6" numFmtId="0" xfId="0" applyBorder="1" applyFont="1"/>
    <xf borderId="8" fillId="0" fontId="5" numFmtId="0" xfId="0" applyAlignment="1" applyBorder="1" applyFont="1">
      <alignment horizontal="center" vertical="center"/>
    </xf>
    <xf borderId="12" fillId="0" fontId="5" numFmtId="0" xfId="0" applyAlignment="1" applyBorder="1" applyFont="1">
      <alignment horizontal="center" vertical="center"/>
    </xf>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0" fillId="0" fontId="5" numFmtId="164" xfId="0" applyAlignment="1" applyBorder="1" applyFont="1" applyNumberFormat="1">
      <alignment horizontal="left" vertical="center"/>
    </xf>
    <xf borderId="0" fillId="0" fontId="5" numFmtId="0" xfId="0" applyAlignment="1" applyFont="1">
      <alignment horizontal="center" vertical="center"/>
    </xf>
    <xf borderId="17" fillId="0" fontId="5" numFmtId="0" xfId="0" applyAlignment="1" applyBorder="1" applyFont="1">
      <alignment horizontal="center" vertical="center"/>
    </xf>
    <xf borderId="18" fillId="4" fontId="5" numFmtId="0" xfId="0" applyAlignment="1" applyBorder="1" applyFont="1">
      <alignment horizontal="center" readingOrder="0" shrinkToFit="0" vertical="center" wrapText="1"/>
    </xf>
    <xf borderId="19" fillId="5" fontId="5" numFmtId="0" xfId="0" applyAlignment="1" applyBorder="1" applyFont="1">
      <alignment horizontal="center" readingOrder="0" vertical="center"/>
    </xf>
    <xf borderId="20" fillId="5" fontId="7" numFmtId="0" xfId="0" applyAlignment="1" applyBorder="1" applyFont="1">
      <alignment horizontal="center" vertical="center"/>
    </xf>
    <xf borderId="11" fillId="6" fontId="5" numFmtId="0" xfId="0" applyAlignment="1" applyBorder="1" applyFont="1">
      <alignment horizontal="center" readingOrder="0" vertical="center"/>
    </xf>
    <xf borderId="20" fillId="6" fontId="5" numFmtId="0" xfId="0" applyAlignment="1" applyBorder="1" applyFont="1">
      <alignment horizontal="center" readingOrder="0" vertical="center"/>
    </xf>
    <xf borderId="21" fillId="7" fontId="5" numFmtId="0" xfId="0" applyAlignment="1" applyBorder="1" applyFont="1">
      <alignment horizontal="center" readingOrder="0" vertical="center"/>
    </xf>
    <xf borderId="8" fillId="0" fontId="6" numFmtId="0" xfId="0" applyBorder="1" applyFont="1"/>
    <xf borderId="12" fillId="0" fontId="6" numFmtId="0" xfId="0" applyBorder="1" applyFont="1"/>
    <xf borderId="22" fillId="4" fontId="5" numFmtId="0" xfId="0" applyAlignment="1" applyBorder="1" applyFont="1">
      <alignment horizontal="center" readingOrder="0" shrinkToFit="0" vertical="center" wrapText="1"/>
    </xf>
    <xf borderId="23" fillId="5" fontId="5" numFmtId="0" xfId="0" applyAlignment="1" applyBorder="1" applyFont="1">
      <alignment horizontal="center" readingOrder="0" vertical="center"/>
    </xf>
    <xf borderId="24" fillId="5" fontId="5" numFmtId="0" xfId="0" applyAlignment="1" applyBorder="1" applyFont="1">
      <alignment horizontal="center" vertical="center"/>
    </xf>
    <xf borderId="25" fillId="6" fontId="5" numFmtId="0" xfId="0" applyAlignment="1" applyBorder="1" applyFont="1">
      <alignment horizontal="center" readingOrder="0" vertical="center"/>
    </xf>
    <xf borderId="24" fillId="6" fontId="5" numFmtId="0" xfId="0" applyAlignment="1" applyBorder="1" applyFont="1">
      <alignment horizontal="center" vertical="center"/>
    </xf>
    <xf borderId="26" fillId="7" fontId="5" numFmtId="0" xfId="0" applyAlignment="1" applyBorder="1" applyFont="1">
      <alignment horizontal="center" vertical="center"/>
    </xf>
    <xf borderId="2" fillId="0" fontId="5" numFmtId="0" xfId="0" applyAlignment="1" applyBorder="1" applyFont="1">
      <alignment horizontal="center" vertical="center"/>
    </xf>
    <xf borderId="3" fillId="0" fontId="5" numFmtId="0" xfId="0" applyAlignment="1" applyBorder="1" applyFont="1">
      <alignment horizontal="center" vertical="center"/>
    </xf>
    <xf borderId="27" fillId="0" fontId="5" numFmtId="0" xfId="0" applyAlignment="1" applyBorder="1" applyFont="1">
      <alignment horizontal="center" vertical="center"/>
    </xf>
    <xf borderId="28" fillId="0" fontId="6" numFmtId="0" xfId="0" applyBorder="1" applyFont="1"/>
    <xf borderId="29" fillId="0" fontId="6" numFmtId="0" xfId="0" applyBorder="1" applyFont="1"/>
    <xf borderId="15" fillId="4" fontId="5" numFmtId="0" xfId="0" applyAlignment="1" applyBorder="1" applyFont="1">
      <alignment horizontal="center" readingOrder="0" shrinkToFit="0" vertical="center" wrapText="1"/>
    </xf>
    <xf borderId="30" fillId="5" fontId="5" numFmtId="0" xfId="0" applyAlignment="1" applyBorder="1" applyFont="1">
      <alignment horizontal="center" readingOrder="0" vertical="center"/>
    </xf>
    <xf borderId="31" fillId="5" fontId="5" numFmtId="0" xfId="0" applyAlignment="1" applyBorder="1" applyFont="1">
      <alignment horizontal="center" readingOrder="0" vertical="center"/>
    </xf>
    <xf borderId="3" fillId="6" fontId="5" numFmtId="0" xfId="0" applyAlignment="1" applyBorder="1" applyFont="1">
      <alignment horizontal="center" readingOrder="0" vertical="center"/>
    </xf>
    <xf borderId="31" fillId="6" fontId="5" numFmtId="0" xfId="0" applyAlignment="1" applyBorder="1" applyFont="1">
      <alignment horizontal="center" readingOrder="0" vertical="center"/>
    </xf>
    <xf borderId="15" fillId="7" fontId="5" numFmtId="0" xfId="0" applyAlignment="1" applyBorder="1" applyFont="1">
      <alignment horizontal="center" readingOrder="0" vertical="center"/>
    </xf>
    <xf borderId="9" fillId="0" fontId="5" numFmtId="0" xfId="0" applyAlignment="1" applyBorder="1" applyFont="1">
      <alignment horizontal="center" readingOrder="0" vertical="center"/>
    </xf>
    <xf borderId="10" fillId="0" fontId="5" numFmtId="0" xfId="0" applyAlignment="1" applyBorder="1" applyFont="1">
      <alignment horizontal="center" readingOrder="0" vertical="center"/>
    </xf>
    <xf borderId="27" fillId="3" fontId="3" numFmtId="0" xfId="0" applyAlignment="1" applyBorder="1" applyFont="1">
      <alignment horizontal="center"/>
    </xf>
    <xf borderId="32" fillId="3" fontId="3" numFmtId="0" xfId="0" applyAlignment="1" applyBorder="1" applyFont="1">
      <alignment horizontal="center"/>
    </xf>
    <xf borderId="9" fillId="3" fontId="3" numFmtId="0" xfId="0" applyAlignment="1" applyBorder="1" applyFont="1">
      <alignment horizontal="center" readingOrder="0"/>
    </xf>
    <xf borderId="11" fillId="3" fontId="3" numFmtId="0" xfId="0" applyAlignment="1" applyBorder="1" applyFont="1">
      <alignment horizontal="center" readingOrder="0"/>
    </xf>
    <xf borderId="20" fillId="3" fontId="3" numFmtId="0" xfId="0" applyAlignment="1" applyBorder="1" applyFont="1">
      <alignment horizontal="center" readingOrder="0"/>
    </xf>
    <xf borderId="9" fillId="3" fontId="3" numFmtId="0" xfId="0" applyAlignment="1" applyBorder="1" applyFont="1">
      <alignment horizontal="center"/>
    </xf>
    <xf borderId="11" fillId="0" fontId="3" numFmtId="0" xfId="0" applyAlignment="1" applyBorder="1" applyFont="1">
      <alignment horizontal="center" readingOrder="0"/>
    </xf>
    <xf borderId="11" fillId="0" fontId="3" numFmtId="0" xfId="0" applyAlignment="1" applyBorder="1" applyFont="1">
      <alignment horizontal="center"/>
    </xf>
    <xf borderId="27" fillId="0" fontId="3" numFmtId="0" xfId="0" applyAlignment="1" applyBorder="1" applyFont="1">
      <alignment horizontal="center"/>
    </xf>
    <xf borderId="32" fillId="0" fontId="3" numFmtId="0" xfId="0" applyAlignment="1" applyBorder="1" applyFont="1">
      <alignment horizontal="center"/>
    </xf>
    <xf borderId="9" fillId="0" fontId="3" numFmtId="0" xfId="0" applyAlignment="1" applyBorder="1" applyFont="1">
      <alignment horizontal="center" readingOrder="0"/>
    </xf>
    <xf borderId="20" fillId="0" fontId="3" numFmtId="0" xfId="0" applyAlignment="1" applyBorder="1" applyFont="1">
      <alignment horizontal="center"/>
    </xf>
    <xf borderId="9" fillId="0" fontId="3" numFmtId="0" xfId="0" applyAlignment="1" applyBorder="1" applyFont="1">
      <alignment horizontal="center"/>
    </xf>
    <xf borderId="11" fillId="8" fontId="8" numFmtId="0" xfId="0" applyAlignment="1" applyBorder="1" applyFill="1" applyFont="1">
      <alignment horizontal="center"/>
    </xf>
    <xf borderId="11" fillId="3" fontId="3" numFmtId="0" xfId="0" applyAlignment="1" applyBorder="1" applyFont="1">
      <alignment horizontal="center"/>
    </xf>
    <xf borderId="20" fillId="3" fontId="3" numFmtId="0" xfId="0" applyAlignment="1" applyBorder="1" applyFont="1">
      <alignment horizontal="center"/>
    </xf>
    <xf borderId="11" fillId="0" fontId="9" numFmtId="0" xfId="0" applyAlignment="1" applyBorder="1" applyFont="1">
      <alignment horizontal="center" readingOrder="0"/>
    </xf>
    <xf borderId="20" fillId="0" fontId="3" numFmtId="0" xfId="0" applyAlignment="1" applyBorder="1" applyFont="1">
      <alignment horizontal="center" readingOrder="0"/>
    </xf>
    <xf borderId="11" fillId="8" fontId="10" numFmtId="0" xfId="0" applyAlignment="1" applyBorder="1" applyFont="1">
      <alignment horizontal="center" readingOrder="0"/>
    </xf>
    <xf borderId="27" fillId="0" fontId="11" numFmtId="0" xfId="0" applyAlignment="1" applyBorder="1" applyFont="1">
      <alignment horizontal="center" readingOrder="0"/>
    </xf>
    <xf borderId="11" fillId="0" fontId="3" numFmtId="0" xfId="0" applyAlignment="1" applyBorder="1" applyFont="1">
      <alignment horizontal="center" vertical="bottom"/>
    </xf>
    <xf borderId="11" fillId="0" fontId="12" numFmtId="0" xfId="0" applyAlignment="1" applyBorder="1" applyFont="1">
      <alignment horizontal="center" readingOrder="0" vertical="bottom"/>
    </xf>
    <xf borderId="3" fillId="0" fontId="3" numFmtId="0" xfId="0" applyAlignment="1" applyBorder="1" applyFont="1">
      <alignment horizontal="center" vertical="bottom"/>
    </xf>
    <xf borderId="33" fillId="3" fontId="3" numFmtId="0" xfId="0" applyAlignment="1" applyBorder="1" applyFon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11" fillId="0" fontId="3" numFmtId="0" xfId="0" applyAlignment="1" applyBorder="1" applyFont="1">
      <alignment horizontal="center" readingOrder="0"/>
    </xf>
    <xf borderId="11" fillId="3" fontId="3" numFmtId="0" xfId="0" applyAlignment="1" applyBorder="1" applyFont="1">
      <alignment horizontal="center" vertical="bottom"/>
    </xf>
    <xf borderId="9" fillId="3" fontId="3" numFmtId="0" xfId="0" applyAlignment="1" applyBorder="1" applyFont="1">
      <alignment horizontal="center" vertical="bottom"/>
    </xf>
    <xf borderId="15" fillId="0" fontId="3" numFmtId="0" xfId="0" applyAlignment="1" applyBorder="1" applyFont="1">
      <alignment horizontal="center" readingOrder="0" vertical="bottom"/>
    </xf>
    <xf borderId="15" fillId="0" fontId="3" numFmtId="0" xfId="0" applyAlignment="1" applyBorder="1" applyFont="1">
      <alignment horizontal="center" vertical="bottom"/>
    </xf>
    <xf borderId="3" fillId="3" fontId="3" numFmtId="0" xfId="0" applyAlignment="1" applyBorder="1" applyFont="1">
      <alignment horizontal="center" vertical="bottom"/>
    </xf>
    <xf borderId="15" fillId="3" fontId="3" numFmtId="0" xfId="0" applyAlignment="1" applyBorder="1" applyFont="1">
      <alignment horizontal="center" vertical="bottom"/>
    </xf>
    <xf borderId="32" fillId="3" fontId="3" numFmtId="0" xfId="0" applyAlignment="1" applyBorder="1" applyFont="1">
      <alignment horizontal="center" vertical="bottom"/>
    </xf>
    <xf borderId="9" fillId="3" fontId="3" numFmtId="0" xfId="0" applyAlignment="1" applyBorder="1" applyFont="1">
      <alignment horizontal="center" readingOrder="0" vertical="bottom"/>
    </xf>
    <xf borderId="29" fillId="0" fontId="3" numFmtId="0" xfId="0" applyAlignment="1" applyBorder="1" applyFont="1">
      <alignment horizontal="center" vertical="bottom"/>
    </xf>
    <xf borderId="29" fillId="3" fontId="3" numFmtId="0" xfId="0" applyAlignment="1" applyBorder="1" applyFont="1">
      <alignment horizontal="center" vertical="bottom"/>
    </xf>
    <xf borderId="34" fillId="3" fontId="3" numFmtId="0" xfId="0" applyAlignment="1" applyBorder="1" applyFont="1">
      <alignment horizontal="center" vertical="bottom"/>
    </xf>
    <xf borderId="27" fillId="9" fontId="3" numFmtId="0" xfId="0" applyAlignment="1" applyBorder="1" applyFill="1" applyFont="1">
      <alignment horizontal="center"/>
    </xf>
    <xf borderId="32" fillId="9" fontId="3" numFmtId="0" xfId="0" applyAlignment="1" applyBorder="1" applyFont="1">
      <alignment horizontal="center"/>
    </xf>
    <xf borderId="11" fillId="9" fontId="3" numFmtId="0" xfId="0" applyAlignment="1" applyBorder="1" applyFont="1">
      <alignment horizontal="center" vertical="bottom"/>
    </xf>
    <xf borderId="9" fillId="9" fontId="3" numFmtId="0" xfId="0" applyAlignment="1" applyBorder="1" applyFont="1">
      <alignment horizontal="center" vertical="bottom"/>
    </xf>
    <xf borderId="32" fillId="0" fontId="3" numFmtId="0" xfId="0" applyAlignment="1" applyBorder="1" applyFont="1">
      <alignment horizontal="center" readingOrder="0"/>
    </xf>
    <xf borderId="27" fillId="0" fontId="3" numFmtId="0" xfId="0" applyAlignment="1" applyBorder="1" applyFont="1">
      <alignment horizontal="center" readingOrder="0"/>
    </xf>
    <xf borderId="11" fillId="0" fontId="3" numFmtId="0" xfId="0" applyAlignment="1" applyBorder="1" applyFont="1">
      <alignment horizontal="left"/>
    </xf>
    <xf borderId="32" fillId="0" fontId="13" numFmtId="0" xfId="0" applyAlignment="1" applyBorder="1" applyFont="1">
      <alignment horizontal="center" readingOrder="0"/>
    </xf>
    <xf borderId="9" fillId="0" fontId="13" numFmtId="0" xfId="0" applyAlignment="1" applyBorder="1" applyFont="1">
      <alignment horizontal="center"/>
    </xf>
    <xf borderId="11" fillId="0" fontId="13" numFmtId="0" xfId="0" applyAlignment="1" applyBorder="1" applyFont="1">
      <alignment horizontal="center"/>
    </xf>
    <xf borderId="20" fillId="0" fontId="13" numFmtId="0" xfId="0" applyAlignment="1" applyBorder="1" applyFont="1">
      <alignment horizontal="center"/>
    </xf>
    <xf borderId="11" fillId="0" fontId="13" numFmtId="0" xfId="0" applyAlignment="1" applyBorder="1" applyFont="1">
      <alignment horizontal="left"/>
    </xf>
    <xf borderId="27" fillId="0" fontId="13" numFmtId="0" xfId="0" applyAlignment="1" applyBorder="1" applyFont="1">
      <alignment horizontal="center"/>
    </xf>
    <xf borderId="32" fillId="0" fontId="13" numFmtId="0" xfId="0" applyAlignment="1" applyBorder="1" applyFont="1">
      <alignment horizontal="center"/>
    </xf>
    <xf borderId="27" fillId="0" fontId="13" numFmtId="0" xfId="0" applyAlignment="1" applyBorder="1" applyFont="1">
      <alignment horizontal="center"/>
    </xf>
    <xf borderId="32" fillId="0" fontId="13" numFmtId="0" xfId="0" applyAlignment="1" applyBorder="1" applyFont="1">
      <alignment horizontal="center"/>
    </xf>
    <xf borderId="9" fillId="0" fontId="13" numFmtId="0" xfId="0" applyAlignment="1" applyBorder="1" applyFont="1">
      <alignment horizontal="center"/>
    </xf>
    <xf borderId="11" fillId="0" fontId="13" numFmtId="0" xfId="0" applyAlignment="1" applyBorder="1" applyFont="1">
      <alignment horizontal="center"/>
    </xf>
    <xf borderId="20" fillId="0" fontId="13" numFmtId="0" xfId="0" applyAlignment="1" applyBorder="1" applyFont="1">
      <alignment horizontal="center"/>
    </xf>
    <xf borderId="11" fillId="0" fontId="13" numFmtId="0" xfId="0" applyAlignment="1" applyBorder="1" applyFont="1">
      <alignment horizontal="left"/>
    </xf>
    <xf borderId="1" fillId="0" fontId="14" numFmtId="0" xfId="0" applyBorder="1" applyFont="1"/>
    <xf borderId="11" fillId="0" fontId="14" numFmtId="0" xfId="0" applyAlignment="1" applyBorder="1" applyFont="1">
      <alignment horizontal="left"/>
    </xf>
    <xf borderId="12" fillId="0" fontId="14" numFmtId="0" xfId="0" applyAlignment="1" applyBorder="1" applyFont="1">
      <alignment horizontal="left"/>
    </xf>
    <xf borderId="35" fillId="8" fontId="15" numFmtId="0" xfId="0" applyAlignment="1" applyBorder="1" applyFont="1">
      <alignment horizontal="left" readingOrder="0" vertical="bottom"/>
    </xf>
    <xf borderId="0" fillId="0" fontId="14" numFmtId="0" xfId="0" applyAlignment="1" applyFont="1">
      <alignment readingOrder="0"/>
    </xf>
    <xf borderId="35" fillId="8" fontId="16" numFmtId="0" xfId="0" applyAlignment="1" applyBorder="1" applyFont="1">
      <alignment horizontal="left" readingOrder="0" vertical="top"/>
    </xf>
    <xf borderId="35" fillId="8" fontId="17" numFmtId="0" xfId="0" applyAlignment="1" applyBorder="1" applyFont="1">
      <alignment readingOrder="0" vertical="top"/>
    </xf>
    <xf borderId="0" fillId="0" fontId="18" numFmtId="0" xfId="0" applyAlignment="1" applyFont="1">
      <alignment readingOrder="0"/>
    </xf>
    <xf borderId="0" fillId="0" fontId="19" numFmtId="0" xfId="0" applyAlignment="1" applyFont="1">
      <alignment readingOrder="0"/>
    </xf>
    <xf borderId="35" fillId="2" fontId="17" numFmtId="0" xfId="0" applyAlignment="1" applyBorder="1" applyFont="1">
      <alignment readingOrder="0" vertical="top"/>
    </xf>
    <xf borderId="0" fillId="2" fontId="14" numFmtId="0" xfId="0" applyAlignment="1" applyFont="1">
      <alignment readingOrder="0"/>
    </xf>
    <xf borderId="0" fillId="0" fontId="20" numFmtId="0" xfId="0" applyAlignment="1" applyFont="1">
      <alignment readingOrder="0"/>
    </xf>
    <xf borderId="35" fillId="8" fontId="15" numFmtId="0" xfId="0" applyAlignment="1" applyBorder="1" applyFont="1">
      <alignment horizontal="left" readingOrder="0" vertical="top"/>
    </xf>
    <xf borderId="0" fillId="8" fontId="21" numFmtId="0" xfId="0" applyFont="1"/>
    <xf borderId="0" fillId="0" fontId="22" numFmtId="0" xfId="0" applyAlignment="1" applyFont="1">
      <alignment readingOrder="0"/>
    </xf>
    <xf borderId="36" fillId="3" fontId="23" numFmtId="0" xfId="0" applyAlignment="1" applyBorder="1" applyFont="1">
      <alignment horizontal="right" shrinkToFit="0" vertical="center" wrapText="0"/>
    </xf>
    <xf borderId="27" fillId="3" fontId="23" numFmtId="0" xfId="0" applyAlignment="1" applyBorder="1" applyFont="1">
      <alignment horizontal="center" shrinkToFit="0" vertical="top" wrapText="0"/>
    </xf>
    <xf borderId="27" fillId="0" fontId="23" numFmtId="0" xfId="0" applyAlignment="1" applyBorder="1" applyFont="1">
      <alignment horizontal="left" shrinkToFit="0" vertical="top" wrapText="0"/>
    </xf>
    <xf borderId="36" fillId="0" fontId="23" numFmtId="0" xfId="0" applyAlignment="1" applyBorder="1" applyFont="1">
      <alignment horizontal="center" shrinkToFit="0" vertical="top" wrapText="0"/>
    </xf>
    <xf borderId="27" fillId="0" fontId="23" numFmtId="0" xfId="0" applyAlignment="1" applyBorder="1" applyFont="1">
      <alignment horizontal="center" shrinkToFit="0" vertical="top" wrapText="0"/>
    </xf>
    <xf borderId="27" fillId="0" fontId="24" numFmtId="0" xfId="0" applyBorder="1" applyFont="1"/>
    <xf borderId="27" fillId="10" fontId="23" numFmtId="0" xfId="0" applyAlignment="1" applyBorder="1" applyFill="1" applyFont="1">
      <alignment horizontal="center" shrinkToFit="0" vertical="center" wrapText="0"/>
    </xf>
    <xf borderId="27" fillId="11" fontId="23" numFmtId="0" xfId="0" applyAlignment="1" applyBorder="1" applyFill="1" applyFont="1">
      <alignment horizontal="center" shrinkToFit="0" vertical="top" wrapText="0"/>
    </xf>
    <xf borderId="27" fillId="11" fontId="23" numFmtId="0" xfId="0" applyAlignment="1" applyBorder="1" applyFont="1">
      <alignment horizontal="left" shrinkToFit="0" vertical="top" wrapText="0"/>
    </xf>
    <xf borderId="4" fillId="3" fontId="24" numFmtId="165" xfId="0" applyAlignment="1" applyBorder="1" applyFont="1" applyNumberFormat="1">
      <alignment horizontal="center" readingOrder="0" shrinkToFit="0" vertical="center" wrapText="0"/>
    </xf>
    <xf borderId="4" fillId="3" fontId="24" numFmtId="0" xfId="0" applyAlignment="1" applyBorder="1" applyFont="1">
      <alignment horizontal="center" readingOrder="0" shrinkToFit="0" vertical="center" wrapText="0"/>
    </xf>
    <xf borderId="27" fillId="3" fontId="24" numFmtId="0" xfId="0" applyAlignment="1" applyBorder="1" applyFont="1">
      <alignment readingOrder="0"/>
    </xf>
    <xf borderId="27" fillId="3" fontId="24" numFmtId="0" xfId="0" applyAlignment="1" applyBorder="1" applyFont="1">
      <alignment readingOrder="0" shrinkToFit="0" vertical="top" wrapText="0"/>
    </xf>
    <xf borderId="27" fillId="3" fontId="24" numFmtId="0" xfId="0" applyAlignment="1" applyBorder="1" applyFont="1">
      <alignment shrinkToFit="0" vertical="top" wrapText="0"/>
    </xf>
    <xf borderId="27" fillId="3" fontId="24" numFmtId="0" xfId="0" applyBorder="1" applyFont="1"/>
    <xf borderId="4" fillId="0" fontId="24" numFmtId="165" xfId="0" applyAlignment="1" applyBorder="1" applyFont="1" applyNumberFormat="1">
      <alignment horizontal="center" readingOrder="0" shrinkToFit="0" vertical="center" wrapText="0"/>
    </xf>
    <xf borderId="4" fillId="0" fontId="24" numFmtId="0" xfId="0" applyAlignment="1" applyBorder="1" applyFont="1">
      <alignment horizontal="center" readingOrder="0" shrinkToFit="0" vertical="center" wrapText="0"/>
    </xf>
    <xf borderId="27" fillId="0" fontId="24" numFmtId="0" xfId="0" applyAlignment="1" applyBorder="1" applyFont="1">
      <alignment readingOrder="0"/>
    </xf>
    <xf borderId="27" fillId="0" fontId="24" numFmtId="0" xfId="0" applyAlignment="1" applyBorder="1" applyFont="1">
      <alignment readingOrder="0" shrinkToFit="0" vertical="top" wrapText="0"/>
    </xf>
    <xf borderId="27" fillId="0" fontId="24" numFmtId="0" xfId="0" applyAlignment="1" applyBorder="1" applyFont="1">
      <alignment shrinkToFit="0" vertical="top" wrapText="0"/>
    </xf>
    <xf borderId="27" fillId="0" fontId="24" numFmtId="0" xfId="0" applyAlignment="1" applyBorder="1" applyFont="1">
      <alignment horizontal="left" readingOrder="0"/>
    </xf>
    <xf borderId="4" fillId="3" fontId="24" numFmtId="165" xfId="0" applyAlignment="1" applyBorder="1" applyFont="1" applyNumberFormat="1">
      <alignment horizontal="center" shrinkToFit="0" vertical="center" wrapText="0"/>
    </xf>
    <xf borderId="4" fillId="3" fontId="24" numFmtId="0" xfId="0" applyAlignment="1" applyBorder="1" applyFont="1">
      <alignment horizontal="center" shrinkToFit="0" vertical="center" wrapText="0"/>
    </xf>
    <xf borderId="27" fillId="3" fontId="24" numFmtId="0" xfId="0" applyAlignment="1" applyBorder="1" applyFont="1">
      <alignment horizontal="left"/>
    </xf>
    <xf borderId="4" fillId="0" fontId="24" numFmtId="166" xfId="0" applyAlignment="1" applyBorder="1" applyFont="1" applyNumberFormat="1">
      <alignment horizontal="center" shrinkToFit="0" vertical="center" wrapText="0"/>
    </xf>
    <xf borderId="4" fillId="0" fontId="24" numFmtId="0" xfId="0" applyAlignment="1" applyBorder="1" applyFont="1">
      <alignment horizontal="center" shrinkToFit="0" vertical="center" wrapText="0"/>
    </xf>
    <xf borderId="27" fillId="0" fontId="24" numFmtId="0" xfId="0" applyAlignment="1" applyBorder="1" applyFont="1">
      <alignment horizontal="left" shrinkToFit="0" vertical="top" wrapText="0"/>
    </xf>
    <xf borderId="27" fillId="3" fontId="24" numFmtId="166" xfId="0" applyAlignment="1" applyBorder="1" applyFont="1" applyNumberFormat="1">
      <alignment horizontal="center" shrinkToFit="0" vertical="center" wrapText="0"/>
    </xf>
    <xf borderId="27" fillId="3" fontId="24" numFmtId="0" xfId="0" applyAlignment="1" applyBorder="1" applyFont="1">
      <alignment horizontal="center" shrinkToFit="0" vertical="center" wrapText="0"/>
    </xf>
    <xf borderId="27" fillId="0" fontId="24" numFmtId="0" xfId="0" applyBorder="1" applyFont="1"/>
    <xf borderId="27" fillId="0" fontId="24" numFmtId="0" xfId="0" applyAlignment="1" applyBorder="1" applyFont="1">
      <alignment horizontal="left"/>
    </xf>
    <xf borderId="4" fillId="3" fontId="24" numFmtId="166" xfId="0" applyAlignment="1" applyBorder="1" applyFont="1" applyNumberFormat="1">
      <alignment horizontal="center" readingOrder="0" shrinkToFit="0" vertical="center" wrapText="0"/>
    </xf>
    <xf borderId="27" fillId="3" fontId="24" numFmtId="0" xfId="0" applyAlignment="1" applyBorder="1" applyFont="1">
      <alignment horizontal="left" readingOrder="0"/>
    </xf>
    <xf borderId="27" fillId="0" fontId="24" numFmtId="0" xfId="0" applyAlignment="1" applyBorder="1" applyFont="1">
      <alignment horizontal="center" shrinkToFit="0" vertical="center" wrapText="0"/>
    </xf>
    <xf borderId="4" fillId="0" fontId="24" numFmtId="166" xfId="0" applyAlignment="1" applyBorder="1" applyFont="1" applyNumberFormat="1">
      <alignment horizontal="center" readingOrder="0" shrinkToFit="0" vertical="center" wrapText="0"/>
    </xf>
    <xf borderId="4" fillId="0" fontId="24" numFmtId="0" xfId="0" applyAlignment="1" applyBorder="1" applyFont="1">
      <alignment horizontal="center" vertical="center"/>
    </xf>
    <xf borderId="4" fillId="3" fontId="24" numFmtId="166" xfId="0" applyAlignment="1" applyBorder="1" applyFont="1" applyNumberFormat="1">
      <alignment horizontal="center" readingOrder="0" vertical="center"/>
    </xf>
    <xf borderId="4" fillId="3" fontId="24" numFmtId="0" xfId="0" applyAlignment="1" applyBorder="1" applyFont="1">
      <alignment horizontal="center" readingOrder="0" vertical="center"/>
    </xf>
    <xf borderId="27" fillId="3" fontId="24" numFmtId="0" xfId="0" applyAlignment="1" applyBorder="1" applyFont="1">
      <alignment horizontal="left" shrinkToFit="0" vertical="top" wrapText="0"/>
    </xf>
    <xf borderId="27" fillId="3" fontId="24" numFmtId="0" xfId="0" applyAlignment="1" applyBorder="1" applyFont="1">
      <alignment horizontal="center" readingOrder="0" shrinkToFit="0" vertical="center" wrapText="0"/>
    </xf>
    <xf borderId="27" fillId="0" fontId="24" numFmtId="0" xfId="0" applyAlignment="1" applyBorder="1" applyFont="1">
      <alignment horizontal="left" readingOrder="0" shrinkToFit="0" vertical="top" wrapText="0"/>
    </xf>
    <xf borderId="27" fillId="3" fontId="24" numFmtId="166" xfId="0" applyAlignment="1" applyBorder="1" applyFont="1" applyNumberFormat="1">
      <alignment horizontal="center" readingOrder="0" shrinkToFit="0" vertical="center" wrapText="0"/>
    </xf>
    <xf borderId="27" fillId="3" fontId="24" numFmtId="0" xfId="0" applyAlignment="1" applyBorder="1" applyFont="1">
      <alignment horizontal="left" readingOrder="0" shrinkToFit="0" vertical="top" wrapText="0"/>
    </xf>
    <xf borderId="27" fillId="0" fontId="24" numFmtId="0" xfId="0" applyAlignment="1" applyBorder="1" applyFont="1">
      <alignment horizontal="center" readingOrder="0" shrinkToFit="0" vertical="center" wrapText="0"/>
    </xf>
    <xf borderId="27" fillId="0" fontId="24" numFmtId="165" xfId="0" applyAlignment="1" applyBorder="1" applyFont="1" applyNumberFormat="1">
      <alignment horizontal="center" readingOrder="0" shrinkToFit="0" vertical="center" wrapText="0"/>
    </xf>
    <xf borderId="27" fillId="0" fontId="24" numFmtId="0" xfId="0" applyAlignment="1" applyBorder="1" applyFont="1">
      <alignment horizontal="left"/>
    </xf>
    <xf borderId="36" fillId="3" fontId="2" numFmtId="0" xfId="0" applyAlignment="1" applyBorder="1" applyFont="1">
      <alignment horizontal="right" shrinkToFit="0" vertical="top" wrapText="0"/>
    </xf>
    <xf borderId="27" fillId="3" fontId="2" numFmtId="0" xfId="0" applyAlignment="1" applyBorder="1" applyFont="1">
      <alignment horizontal="center" shrinkToFit="0" vertical="top" wrapText="0"/>
    </xf>
    <xf borderId="27" fillId="0" fontId="2" numFmtId="0" xfId="0" applyAlignment="1" applyBorder="1" applyFont="1">
      <alignment horizontal="center" shrinkToFit="0" vertical="top" wrapText="0"/>
    </xf>
    <xf borderId="36" fillId="0" fontId="2" numFmtId="0" xfId="0" applyAlignment="1" applyBorder="1" applyFont="1">
      <alignment horizontal="center" shrinkToFit="0" vertical="top" wrapText="0"/>
    </xf>
    <xf borderId="27" fillId="0" fontId="4" numFmtId="0" xfId="0" applyBorder="1" applyFont="1"/>
    <xf borderId="27" fillId="10" fontId="2" numFmtId="0" xfId="0" applyAlignment="1" applyBorder="1" applyFont="1">
      <alignment horizontal="center" shrinkToFit="0" vertical="top" wrapText="0"/>
    </xf>
    <xf borderId="27" fillId="11" fontId="2" numFmtId="0" xfId="0" applyAlignment="1" applyBorder="1" applyFont="1">
      <alignment horizontal="center" shrinkToFit="0" vertical="top" wrapText="0"/>
    </xf>
    <xf borderId="4" fillId="12" fontId="4" numFmtId="166" xfId="0" applyAlignment="1" applyBorder="1" applyFill="1" applyFont="1" applyNumberFormat="1">
      <alignment horizontal="center" readingOrder="0" shrinkToFit="0" vertical="center" wrapText="0"/>
    </xf>
    <xf borderId="4" fillId="12" fontId="4" numFmtId="0" xfId="0" applyAlignment="1" applyBorder="1" applyFont="1">
      <alignment horizontal="center" readingOrder="0" shrinkToFit="0" vertical="center" wrapText="0"/>
    </xf>
    <xf borderId="27" fillId="12" fontId="4" numFmtId="0" xfId="0" applyAlignment="1" applyBorder="1" applyFont="1">
      <alignment readingOrder="0" vertical="top"/>
    </xf>
    <xf borderId="27" fillId="12" fontId="25" numFmtId="0" xfId="0" applyAlignment="1" applyBorder="1" applyFont="1">
      <alignment readingOrder="0"/>
    </xf>
    <xf borderId="27" fillId="12" fontId="4" numFmtId="0" xfId="0" applyAlignment="1" applyBorder="1" applyFont="1">
      <alignment shrinkToFit="0" wrapText="0"/>
    </xf>
    <xf borderId="27" fillId="12" fontId="4" numFmtId="0" xfId="0" applyBorder="1" applyFont="1"/>
    <xf borderId="27" fillId="12" fontId="26" numFmtId="0" xfId="0" applyAlignment="1" applyBorder="1" applyFont="1">
      <alignment readingOrder="0"/>
    </xf>
    <xf borderId="4" fillId="0" fontId="4" numFmtId="166" xfId="0" applyAlignment="1" applyBorder="1" applyFont="1" applyNumberFormat="1">
      <alignment horizontal="center" readingOrder="0" shrinkToFit="0" vertical="center" wrapText="0"/>
    </xf>
    <xf borderId="4" fillId="0" fontId="4" numFmtId="0" xfId="0" applyAlignment="1" applyBorder="1" applyFont="1">
      <alignment horizontal="center" readingOrder="0" shrinkToFit="0" vertical="center" wrapText="0"/>
    </xf>
    <xf borderId="27" fillId="0" fontId="4" numFmtId="0" xfId="0" applyAlignment="1" applyBorder="1" applyFont="1">
      <alignment readingOrder="0" vertical="top"/>
    </xf>
    <xf borderId="27" fillId="0" fontId="4" numFmtId="0" xfId="0" applyAlignment="1" applyBorder="1" applyFont="1">
      <alignment shrinkToFit="0" wrapText="0"/>
    </xf>
    <xf borderId="27" fillId="0" fontId="4" numFmtId="0" xfId="0" applyAlignment="1" applyBorder="1" applyFont="1">
      <alignment readingOrder="0" shrinkToFit="0" vertical="bottom" wrapText="0"/>
    </xf>
    <xf borderId="4" fillId="3" fontId="4" numFmtId="166" xfId="0" applyAlignment="1" applyBorder="1" applyFont="1" applyNumberFormat="1">
      <alignment horizontal="center" shrinkToFit="0" vertical="center" wrapText="0"/>
    </xf>
    <xf borderId="4" fillId="3" fontId="4" numFmtId="0" xfId="0" applyAlignment="1" applyBorder="1" applyFont="1">
      <alignment horizontal="center" shrinkToFit="0" vertical="center" wrapText="0"/>
    </xf>
    <xf borderId="27" fillId="3" fontId="4" numFmtId="0" xfId="0" applyAlignment="1" applyBorder="1" applyFont="1">
      <alignment vertical="top"/>
    </xf>
    <xf borderId="27" fillId="3" fontId="4" numFmtId="0" xfId="0" applyAlignment="1" applyBorder="1" applyFont="1">
      <alignment shrinkToFit="0" vertical="bottom" wrapText="0"/>
    </xf>
    <xf borderId="27" fillId="3" fontId="4" numFmtId="0" xfId="0" applyAlignment="1" applyBorder="1" applyFont="1">
      <alignment shrinkToFit="0" wrapText="0"/>
    </xf>
    <xf borderId="27" fillId="3" fontId="4" numFmtId="0" xfId="0" applyBorder="1" applyFont="1"/>
    <xf borderId="27" fillId="3" fontId="4" numFmtId="0" xfId="0" applyAlignment="1" applyBorder="1" applyFont="1">
      <alignment shrinkToFit="0" vertical="top" wrapText="0"/>
    </xf>
    <xf borderId="4" fillId="0" fontId="4" numFmtId="166" xfId="0" applyAlignment="1" applyBorder="1" applyFont="1" applyNumberFormat="1">
      <alignment horizontal="center" shrinkToFit="0" vertical="center" wrapText="0"/>
    </xf>
    <xf borderId="4" fillId="0" fontId="4" numFmtId="0" xfId="0" applyAlignment="1" applyBorder="1" applyFont="1">
      <alignment horizontal="center" shrinkToFit="0" vertical="center" wrapText="0"/>
    </xf>
    <xf borderId="27" fillId="0" fontId="4" numFmtId="0" xfId="0" applyAlignment="1" applyBorder="1" applyFont="1">
      <alignment shrinkToFit="0" vertical="top" wrapText="0"/>
    </xf>
    <xf borderId="27" fillId="0" fontId="4" numFmtId="0" xfId="0" applyAlignment="1" applyBorder="1" applyFont="1">
      <alignment vertical="top"/>
    </xf>
    <xf borderId="27" fillId="0" fontId="4" numFmtId="0" xfId="0" applyAlignment="1" applyBorder="1" applyFont="1">
      <alignment shrinkToFit="0" vertical="bottom" wrapText="0"/>
    </xf>
    <xf borderId="27" fillId="3" fontId="24" numFmtId="0" xfId="0" applyBorder="1" applyFont="1"/>
    <xf borderId="27" fillId="0" fontId="4" numFmtId="0" xfId="0" applyAlignment="1" applyBorder="1" applyFont="1">
      <alignment readingOrder="0" shrinkToFit="0" wrapText="0"/>
    </xf>
    <xf borderId="4" fillId="3" fontId="4" numFmtId="166" xfId="0" applyAlignment="1" applyBorder="1" applyFont="1" applyNumberFormat="1">
      <alignment horizontal="center" readingOrder="0" shrinkToFit="0" vertical="center" wrapText="0"/>
    </xf>
    <xf borderId="27" fillId="0" fontId="4" numFmtId="0" xfId="0" applyAlignment="1" applyBorder="1" applyFont="1">
      <alignment horizontal="center" shrinkToFit="0" vertical="center" wrapText="0"/>
    </xf>
    <xf borderId="27" fillId="3" fontId="4" numFmtId="0" xfId="0" applyAlignment="1" applyBorder="1" applyFont="1">
      <alignment horizontal="center" shrinkToFit="0" vertical="center" wrapText="0"/>
    </xf>
    <xf borderId="27" fillId="8" fontId="24" numFmtId="0" xfId="0" applyAlignment="1" applyBorder="1" applyFont="1">
      <alignment readingOrder="0"/>
    </xf>
    <xf borderId="27" fillId="0" fontId="4" numFmtId="0" xfId="0" applyBorder="1" applyFont="1"/>
    <xf borderId="27" fillId="3" fontId="4" numFmtId="0" xfId="0" applyAlignment="1" applyBorder="1" applyFont="1">
      <alignment readingOrder="0" shrinkToFit="0" wrapText="0"/>
    </xf>
    <xf borderId="13" fillId="0" fontId="4" numFmtId="166" xfId="0" applyAlignment="1" applyBorder="1" applyFont="1" applyNumberFormat="1">
      <alignment horizontal="center" readingOrder="0" shrinkToFit="0" vertical="center" wrapText="0"/>
    </xf>
    <xf borderId="27" fillId="0" fontId="4" numFmtId="166" xfId="0" applyAlignment="1" applyBorder="1" applyFont="1" applyNumberFormat="1">
      <alignment horizontal="center" readingOrder="0" shrinkToFit="0" wrapText="0"/>
    </xf>
    <xf borderId="27" fillId="0" fontId="4" numFmtId="0" xfId="0" applyAlignment="1" applyBorder="1" applyFont="1">
      <alignment horizontal="center" shrinkToFit="0" wrapText="0"/>
    </xf>
    <xf borderId="0" fillId="0" fontId="27" numFmtId="0" xfId="0" applyAlignment="1" applyFont="1">
      <alignment readingOrder="0" shrinkToFit="0" vertical="top" wrapText="1"/>
    </xf>
    <xf borderId="0" fillId="8" fontId="28" numFmtId="0" xfId="0" applyAlignment="1" applyFont="1">
      <alignment horizontal="left" readingOrder="0"/>
    </xf>
    <xf borderId="0" fillId="13" fontId="29" numFmtId="0" xfId="0" applyAlignment="1" applyFill="1" applyFont="1">
      <alignment readingOrder="0" shrinkToFit="0" vertical="bottom" wrapText="0"/>
    </xf>
    <xf borderId="0" fillId="0" fontId="30" numFmtId="0" xfId="0" applyAlignment="1" applyFont="1">
      <alignment readingOrder="0" shrinkToFit="0" vertical="bottom" wrapText="0"/>
    </xf>
    <xf borderId="0" fillId="0" fontId="30" numFmtId="0" xfId="0" applyAlignment="1" applyFont="1">
      <alignment horizontal="right" readingOrder="0" shrinkToFit="0" vertical="bottom" wrapText="0"/>
    </xf>
    <xf borderId="0" fillId="0" fontId="14" numFmtId="3" xfId="0" applyAlignment="1" applyFont="1" applyNumberFormat="1">
      <alignment readingOrder="0"/>
    </xf>
    <xf borderId="0" fillId="0" fontId="14" numFmtId="0" xfId="0" applyFont="1"/>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9D9D9"/>
          <bgColor rgb="FFD9D9D9"/>
        </patternFill>
      </fill>
      <border/>
    </dxf>
  </dxfs>
  <tableStyles count="2">
    <tableStyle count="2" pivot="0" name="Governor-style">
      <tableStyleElement dxfId="1" type="firstRowStripe"/>
      <tableStyleElement dxfId="2" type="secondRowStripe"/>
    </tableStyle>
    <tableStyle count="3" pivot="0" name="Summary-style">
      <tableStyleElement dxfId="3" type="headerRow"/>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Prison Population in New York State, 1978 - 2019</a:t>
            </a:r>
          </a:p>
        </c:rich>
      </c:tx>
      <c:overlay val="0"/>
    </c:title>
    <c:plotArea>
      <c:layout/>
      <c:lineChart>
        <c:varyColors val="0"/>
        <c:ser>
          <c:idx val="0"/>
          <c:order val="0"/>
          <c:tx>
            <c:strRef>
              <c:f>'for video'!$A$39</c:f>
            </c:strRef>
          </c:tx>
          <c:spPr>
            <a:ln cmpd="sng">
              <a:solidFill>
                <a:srgbClr val="4285F4"/>
              </a:solidFill>
            </a:ln>
          </c:spPr>
          <c:marker>
            <c:symbol val="none"/>
          </c:marker>
          <c:cat>
            <c:strRef>
              <c:f>'for video'!$B$38:$AQ$38</c:f>
            </c:strRef>
          </c:cat>
          <c:val>
            <c:numRef>
              <c:f>'for video'!$B$39:$AQ$39</c:f>
              <c:numCache/>
            </c:numRef>
          </c:val>
          <c:smooth val="0"/>
        </c:ser>
        <c:axId val="2121615091"/>
        <c:axId val="1093410730"/>
      </c:lineChart>
      <c:catAx>
        <c:axId val="2121615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3410730"/>
      </c:catAx>
      <c:valAx>
        <c:axId val="1093410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16150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2019 New York Prison Population by year admitted</a:t>
            </a:r>
          </a:p>
        </c:rich>
      </c:tx>
      <c:overlay val="0"/>
    </c:title>
    <c:plotArea>
      <c:layout/>
      <c:barChart>
        <c:barDir val="col"/>
        <c:ser>
          <c:idx val="0"/>
          <c:order val="0"/>
          <c:tx>
            <c:strRef>
              <c:f>'for video'!$A$44</c:f>
            </c:strRef>
          </c:tx>
          <c:spPr>
            <a:solidFill>
              <a:schemeClr val="accent1"/>
            </a:solidFill>
            <a:ln cmpd="sng">
              <a:solidFill>
                <a:srgbClr val="000000"/>
              </a:solidFill>
            </a:ln>
          </c:spPr>
          <c:cat>
            <c:strRef>
              <c:f>'for video'!$B$43:$BA$43</c:f>
            </c:strRef>
          </c:cat>
          <c:val>
            <c:numRef>
              <c:f>'for video'!$B$44:$BA$44</c:f>
              <c:numCache/>
            </c:numRef>
          </c:val>
        </c:ser>
        <c:axId val="1252139213"/>
        <c:axId val="397655102"/>
      </c:barChart>
      <c:catAx>
        <c:axId val="1252139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397655102"/>
      </c:catAx>
      <c:valAx>
        <c:axId val="3976551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NEW YORK</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213921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2019 New York Prison Population by year admitted</a:t>
            </a:r>
          </a:p>
        </c:rich>
      </c:tx>
      <c:overlay val="0"/>
    </c:title>
    <c:plotArea>
      <c:layout/>
      <c:barChart>
        <c:barDir val="col"/>
        <c:ser>
          <c:idx val="0"/>
          <c:order val="0"/>
          <c:tx>
            <c:strRef>
              <c:f>'for video'!$A$44</c:f>
            </c:strRef>
          </c:tx>
          <c:spPr>
            <a:solidFill>
              <a:schemeClr val="accent1"/>
            </a:solidFill>
            <a:ln cmpd="sng">
              <a:solidFill>
                <a:srgbClr val="000000"/>
              </a:solidFill>
            </a:ln>
          </c:spPr>
          <c:cat>
            <c:strRef>
              <c:f>'for video'!$B$43:$BA$43</c:f>
            </c:strRef>
          </c:cat>
          <c:val>
            <c:numRef>
              <c:f>'for video'!$B$44:$BA$44</c:f>
              <c:numCache/>
            </c:numRef>
          </c:val>
        </c:ser>
        <c:axId val="294614695"/>
        <c:axId val="10833920"/>
      </c:barChart>
      <c:catAx>
        <c:axId val="294614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833920"/>
      </c:catAx>
      <c:valAx>
        <c:axId val="10833920"/>
        <c:scaling>
          <c:orientation val="minMax"/>
          <c:max val="1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NEW YORK</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61469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35</xdr:row>
      <xdr:rowOff>171450</xdr:rowOff>
    </xdr:from>
    <xdr:ext cx="5715000" cy="3533775"/>
    <xdr:graphicFrame>
      <xdr:nvGraphicFramePr>
        <xdr:cNvPr id="181294067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876300</xdr:colOff>
      <xdr:row>48</xdr:row>
      <xdr:rowOff>9525</xdr:rowOff>
    </xdr:from>
    <xdr:ext cx="5715000" cy="3533775"/>
    <xdr:graphicFrame>
      <xdr:nvGraphicFramePr>
        <xdr:cNvPr id="423007948"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876300</xdr:colOff>
      <xdr:row>51</xdr:row>
      <xdr:rowOff>9525</xdr:rowOff>
    </xdr:from>
    <xdr:ext cx="5715000" cy="3533775"/>
    <xdr:graphicFrame>
      <xdr:nvGraphicFramePr>
        <xdr:cNvPr id="1465773397"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400050</xdr:colOff>
      <xdr:row>27</xdr:row>
      <xdr:rowOff>47625</xdr:rowOff>
    </xdr:from>
    <xdr:ext cx="2276475" cy="1409700"/>
    <xdr:pic>
      <xdr:nvPicPr>
        <xdr:cNvPr id="149982308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657225</xdr:colOff>
      <xdr:row>21</xdr:row>
      <xdr:rowOff>95250</xdr:rowOff>
    </xdr:from>
    <xdr:ext cx="2152650" cy="12954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B11:F11" displayName="Table_1" name="Table_1" id="1">
  <tableColumns count="5">
    <tableColumn name="Column1" id="1"/>
    <tableColumn name="Column2" id="2"/>
    <tableColumn name="Column3" id="3"/>
    <tableColumn name="Column4" id="4"/>
    <tableColumn name="Column5" id="5"/>
  </tableColumns>
  <tableStyleInfo name="Governor-style" showColumnStripes="0" showFirstColumn="1" showLastColumn="1" showRowStripes="1"/>
</table>
</file>

<file path=xl/tables/table2.xml><?xml version="1.0" encoding="utf-8"?>
<table xmlns="http://schemas.openxmlformats.org/spreadsheetml/2006/main" headerRowCount="0" ref="A7:AD164" displayName="Table_2" name="Table_2"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nytimes.com/1975/12/25/archives/clemency-given-to-sostre-and-7-sakharov-and-others-urged-governor.html" TargetMode="External"/><Relationship Id="rId11" Type="http://schemas.openxmlformats.org/officeDocument/2006/relationships/hyperlink" Target="https://www.nytimes.com/2007/12/22/nyregion/22pardon.html" TargetMode="External"/><Relationship Id="rId22" Type="http://schemas.openxmlformats.org/officeDocument/2006/relationships/drawing" Target="../drawings/drawing2.xml"/><Relationship Id="rId10" Type="http://schemas.openxmlformats.org/officeDocument/2006/relationships/hyperlink" Target="https://observer.com/2008/12/paterson-grants-two-clemencies/" TargetMode="External"/><Relationship Id="rId21" Type="http://schemas.openxmlformats.org/officeDocument/2006/relationships/hyperlink" Target="https://www.nytimes.com/1975/12/26/archives/governors-clemency.html?searchResultPosition=38" TargetMode="External"/><Relationship Id="rId13" Type="http://schemas.openxmlformats.org/officeDocument/2006/relationships/hyperlink" Target="https://www.nytimes.com/2002/12/25/nyregion/pataki-grants-clemency-to-4-in-prison.html" TargetMode="External"/><Relationship Id="rId12" Type="http://schemas.openxmlformats.org/officeDocument/2006/relationships/hyperlink" Target="https://www.nytimes.com/2005/12/25/nyregion/drug-convict-wins-grant-of-clemency-from-pataki.html"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wayback.archive-it.org/8438/20210820005333/https://www.governor.ny.gov/news/governor-cuomo-grants-clemency-21-individuals" TargetMode="External"/><Relationship Id="rId3" Type="http://schemas.openxmlformats.org/officeDocument/2006/relationships/hyperlink" Target="https://www.immigrantdefenseproject.org/wp-content/uploads/pardon-release-20171228.pdf" TargetMode="External"/><Relationship Id="rId4" Type="http://schemas.openxmlformats.org/officeDocument/2006/relationships/hyperlink" Target="https://www.rochesterfirst.com/news/local-news/cuomo-grants-clemency-to-61-individuals/" TargetMode="External"/><Relationship Id="rId9" Type="http://schemas.openxmlformats.org/officeDocument/2006/relationships/hyperlink" Target="https://abcnews.go.com/US/ny-gov-david-paterson-commutes-john-whites-sentence/story?id=12471371" TargetMode="External"/><Relationship Id="rId15" Type="http://schemas.openxmlformats.org/officeDocument/2006/relationships/hyperlink" Target="https://wayback.archive-it.org/8438/20070112075148/http://convwebdocs.oclc.org/0000057321-000002607622" TargetMode="External"/><Relationship Id="rId14" Type="http://schemas.openxmlformats.org/officeDocument/2006/relationships/hyperlink" Target="https://wayback.archive-it.org/8438/20070112075501/http://convwebdocs.oclc.org/0000057321-000002609044" TargetMode="External"/><Relationship Id="rId25" Type="http://schemas.openxmlformats.org/officeDocument/2006/relationships/table" Target="../tables/table2.xml"/><Relationship Id="rId17" Type="http://schemas.openxmlformats.org/officeDocument/2006/relationships/hyperlink" Target="https://www.nytimes.com/1997/12/25/nyregion/governor-commutes-sentences-of-3-convicted-on-drug-charges.html" TargetMode="External"/><Relationship Id="rId16" Type="http://schemas.openxmlformats.org/officeDocument/2006/relationships/hyperlink" Target="https://www.nytimes.com/1999/12/24/nyregion/4-first-time-drug-offenders-granted-clemency-by-pataki.html" TargetMode="External"/><Relationship Id="rId5" Type="http://schemas.openxmlformats.org/officeDocument/2006/relationships/hyperlink" Target="https://ocfs.ny.gov/main/news/article.php?idx=1436" TargetMode="External"/><Relationship Id="rId19" Type="http://schemas.openxmlformats.org/officeDocument/2006/relationships/hyperlink" Target="https://www.nytimes.com/1981/11/26/nyregion/carey-gives-clemency-to-11-jailed-on-drugs.html" TargetMode="External"/><Relationship Id="rId6" Type="http://schemas.openxmlformats.org/officeDocument/2006/relationships/hyperlink" Target="https://wayback.archive-it.org/8438/20211005043024/https://gov56.ny.gov/news/governor-cuomo-grants-clemency-four-individuals-and-launches-pro-bono-clemency-program" TargetMode="External"/><Relationship Id="rId18" Type="http://schemas.openxmlformats.org/officeDocument/2006/relationships/hyperlink" Target="https://www.upi.com/Archives/1982/05/13/A-convict-who-was-granted-clemency-by-Gov-Hugh/4887390110400/" TargetMode="External"/><Relationship Id="rId7" Type="http://schemas.openxmlformats.org/officeDocument/2006/relationships/hyperlink" Target="https://www.nytimes.com/2014/01/01/nyregion/cuomo-issues-pardons-for-first-time-in-office.html" TargetMode="External"/><Relationship Id="rId8" Type="http://schemas.openxmlformats.org/officeDocument/2006/relationships/hyperlink" Target="https://www.theroot.com/freed-from-prison-but-still-in-pain-1790882144"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prisonpolicy.org/reports/commutations.html" TargetMode="External"/><Relationship Id="rId11" Type="http://schemas.openxmlformats.org/officeDocument/2006/relationships/hyperlink" Target="https://www.prisonpolicy.org/reports/commutations.html" TargetMode="External"/><Relationship Id="rId22" Type="http://schemas.openxmlformats.org/officeDocument/2006/relationships/hyperlink" Target="https://ccresourcecenter.org/state-restoration-profiles/50-state-comparisoncharacteristics-of-pardon-authorities-2/" TargetMode="External"/><Relationship Id="rId10" Type="http://schemas.openxmlformats.org/officeDocument/2006/relationships/hyperlink" Target="https://www.prisonpolicy.org/reports/commutations.html" TargetMode="External"/><Relationship Id="rId21" Type="http://schemas.openxmlformats.org/officeDocument/2006/relationships/hyperlink" Target="https://www.prisonpolicy.org/reports/commutations.html" TargetMode="External"/><Relationship Id="rId13" Type="http://schemas.openxmlformats.org/officeDocument/2006/relationships/hyperlink" Target="https://www.prisonpolicy.org/reports/commutations.html" TargetMode="External"/><Relationship Id="rId12" Type="http://schemas.openxmlformats.org/officeDocument/2006/relationships/hyperlink" Target="https://www.prisonpolicy.org/reports/commutations.html" TargetMode="External"/><Relationship Id="rId23" Type="http://schemas.openxmlformats.org/officeDocument/2006/relationships/drawing" Target="../drawings/drawing3.xml"/><Relationship Id="rId1" Type="http://schemas.openxmlformats.org/officeDocument/2006/relationships/hyperlink" Target="https://gothamist.com/news/more-than-1500-incarcerated-new-yorkers-are-asking-gov-hochul-for-the-year-end-gift-of-freedom" TargetMode="External"/><Relationship Id="rId2" Type="http://schemas.openxmlformats.org/officeDocument/2006/relationships/hyperlink" Target="https://www.cityandstateny.com/politics/2023/12/ahead-christmas-hochul-grants-pardons-and-commutations-16-people/393006/" TargetMode="External"/><Relationship Id="rId3" Type="http://schemas.openxmlformats.org/officeDocument/2006/relationships/hyperlink" Target="https://www.nytimes.com/2022/12/21/nyregion/kathy-hochul-pardon-clemency.html" TargetMode="External"/><Relationship Id="rId4" Type="http://schemas.openxmlformats.org/officeDocument/2006/relationships/hyperlink" Target="https://www.prisonpolicy.org/reports/commutations.html" TargetMode="External"/><Relationship Id="rId9" Type="http://schemas.openxmlformats.org/officeDocument/2006/relationships/hyperlink" Target="https://www.prisonpolicy.org/reports/commutations.html" TargetMode="External"/><Relationship Id="rId15" Type="http://schemas.openxmlformats.org/officeDocument/2006/relationships/hyperlink" Target="https://www.prisonpolicy.org/reports/commutations.html" TargetMode="External"/><Relationship Id="rId14" Type="http://schemas.openxmlformats.org/officeDocument/2006/relationships/hyperlink" Target="https://www.prisonpolicy.org/reports/commutations.html" TargetMode="External"/><Relationship Id="rId17" Type="http://schemas.openxmlformats.org/officeDocument/2006/relationships/hyperlink" Target="https://www.prisonpolicy.org/reports/commutations.html" TargetMode="External"/><Relationship Id="rId16" Type="http://schemas.openxmlformats.org/officeDocument/2006/relationships/hyperlink" Target="https://www.prisonpolicy.org/reports/commutations.html" TargetMode="External"/><Relationship Id="rId5" Type="http://schemas.openxmlformats.org/officeDocument/2006/relationships/hyperlink" Target="https://www.prisonpolicy.org/reports/commutations.html" TargetMode="External"/><Relationship Id="rId19" Type="http://schemas.openxmlformats.org/officeDocument/2006/relationships/hyperlink" Target="https://www.prisonpolicy.org/reports/commutations.html" TargetMode="External"/><Relationship Id="rId6" Type="http://schemas.openxmlformats.org/officeDocument/2006/relationships/hyperlink" Target="https://www.prisonpolicy.org/reports/commutations.html" TargetMode="External"/><Relationship Id="rId18" Type="http://schemas.openxmlformats.org/officeDocument/2006/relationships/hyperlink" Target="https://www.prisonpolicy.org/reports/commutations.html" TargetMode="External"/><Relationship Id="rId7" Type="http://schemas.openxmlformats.org/officeDocument/2006/relationships/hyperlink" Target="https://www.prisonpolicy.org/reports/commutations.html" TargetMode="External"/><Relationship Id="rId8" Type="http://schemas.openxmlformats.org/officeDocument/2006/relationships/hyperlink" Target="https://www.prisonpolicy.org/reports/commutations.html"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0" Type="http://schemas.openxmlformats.org/officeDocument/2006/relationships/hyperlink" Target="https://wayback.archive-it.org/8438/20211005043024/https://gov56.ny.gov/news/governor-cuomo-grants-clemency-four-individuals-and-launches-pro-bono-clemency-program" TargetMode="External"/><Relationship Id="rId11" Type="http://schemas.openxmlformats.org/officeDocument/2006/relationships/hyperlink" Target="https://www.theroot.com/freed-from-prison-but-still-in-pain-1790882144" TargetMode="External"/><Relationship Id="rId10" Type="http://schemas.openxmlformats.org/officeDocument/2006/relationships/hyperlink" Target="https://observer.com/2008/12/paterson-grants-two-clemencies/" TargetMode="External"/><Relationship Id="rId21" Type="http://schemas.openxmlformats.org/officeDocument/2006/relationships/drawing" Target="../drawings/drawing6.xml"/><Relationship Id="rId13" Type="http://schemas.openxmlformats.org/officeDocument/2006/relationships/hyperlink" Target="https://www.nytimes.com/2014/01/01/nyregion/cuomo-issues-pardons-for-first-time-in-office.html" TargetMode="External"/><Relationship Id="rId12" Type="http://schemas.openxmlformats.org/officeDocument/2006/relationships/hyperlink" Target="https://abcnews.go.com/US/ny-gov-david-paterson-commutes-john-whites-sentence/story?id=12471371" TargetMode="External"/><Relationship Id="rId1" Type="http://schemas.openxmlformats.org/officeDocument/2006/relationships/hyperlink" Target="https://www.nytimes.com/1975/12/25/archives/clemency-given-to-sostre-and-7-sakharov-and-others-urged-governor.html" TargetMode="External"/><Relationship Id="rId2" Type="http://schemas.openxmlformats.org/officeDocument/2006/relationships/hyperlink" Target="https://www.nytimes.com/1975/12/26/archives/governors-clemency.html?searchResultPosition=38" TargetMode="External"/><Relationship Id="rId3" Type="http://schemas.openxmlformats.org/officeDocument/2006/relationships/hyperlink" Target="https://www.nytimes.com/1981/11/26/nyregion/carey-gives-clemency-to-11-jailed-on-drugs.html" TargetMode="External"/><Relationship Id="rId4" Type="http://schemas.openxmlformats.org/officeDocument/2006/relationships/hyperlink" Target="https://www.upi.com/Archives/1982/05/13/A-convict-who-was-granted-clemency-by-Gov-Hugh/4887390110400/" TargetMode="External"/><Relationship Id="rId9" Type="http://schemas.openxmlformats.org/officeDocument/2006/relationships/hyperlink" Target="https://www.nytimes.com/2007/12/22/nyregion/22pardon.html" TargetMode="External"/><Relationship Id="rId15" Type="http://schemas.openxmlformats.org/officeDocument/2006/relationships/hyperlink" Target="https://wayback.archive-it.org/8438/20070112075501/http://convwebdocs.oclc.org/0000057321-000002609044" TargetMode="External"/><Relationship Id="rId14" Type="http://schemas.openxmlformats.org/officeDocument/2006/relationships/hyperlink" Target="https://wayback.archive-it.org/8438/20210820005333/https://www.governor.ny.gov/news/governor-cuomo-grants-clemency-21-individuals" TargetMode="External"/><Relationship Id="rId17" Type="http://schemas.openxmlformats.org/officeDocument/2006/relationships/hyperlink" Target="https://ocfs.ny.gov/main/news/article.php?idx=1436" TargetMode="External"/><Relationship Id="rId16" Type="http://schemas.openxmlformats.org/officeDocument/2006/relationships/hyperlink" Target="https://wayback.archive-it.org/8438/20070112075148/http://convwebdocs.oclc.org/0000057321-000002607622" TargetMode="External"/><Relationship Id="rId5" Type="http://schemas.openxmlformats.org/officeDocument/2006/relationships/hyperlink" Target="https://www.nytimes.com/1997/12/25/nyregion/governor-commutes-sentences-of-3-convicted-on-drug-charges.html" TargetMode="External"/><Relationship Id="rId19" Type="http://schemas.openxmlformats.org/officeDocument/2006/relationships/hyperlink" Target="https://www.rochesterfirst.com/news/local-news/cuomo-grants-clemency-to-61-individuals/" TargetMode="External"/><Relationship Id="rId6" Type="http://schemas.openxmlformats.org/officeDocument/2006/relationships/hyperlink" Target="https://www.nytimes.com/1999/12/24/nyregion/4-first-time-drug-offenders-granted-clemency-by-pataki.html" TargetMode="External"/><Relationship Id="rId18" Type="http://schemas.openxmlformats.org/officeDocument/2006/relationships/hyperlink" Target="https://www.immigrantdefenseproject.org/wp-content/uploads/pardon-release-20171228.pdf" TargetMode="External"/><Relationship Id="rId7" Type="http://schemas.openxmlformats.org/officeDocument/2006/relationships/hyperlink" Target="https://www.nytimes.com/2002/12/25/nyregion/pataki-grants-clemency-to-4-in-prison.html" TargetMode="External"/><Relationship Id="rId8" Type="http://schemas.openxmlformats.org/officeDocument/2006/relationships/hyperlink" Target="https://www.nytimes.com/2005/12/25/nyregion/drug-convict-wins-grant-of-clemency-from-pataki.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js.ojp.gov/library/publications/historical-statistics-prisoners-state-and-federal-institutions-yearend-1925-86" TargetMode="External"/><Relationship Id="rId2" Type="http://schemas.openxmlformats.org/officeDocument/2006/relationships/hyperlink" Target="https://www.prisonpolicy.org/graphs/rates2021/NY_Rates_2021.html" TargetMode="External"/><Relationship Id="rId3" Type="http://schemas.openxmlformats.org/officeDocument/2006/relationships/hyperlink" Target="https://www.prisonpolicy.org/graphs/disparities2021/NY_racial_disparities_2021.html" TargetMode="External"/><Relationship Id="rId4" Type="http://schemas.openxmlformats.org/officeDocument/2006/relationships/hyperlink" Target="https://trends.vera.org/state/NY" TargetMode="External"/><Relationship Id="rId9" Type="http://schemas.openxmlformats.org/officeDocument/2006/relationships/drawing" Target="../drawings/drawing7.xml"/><Relationship Id="rId5" Type="http://schemas.openxmlformats.org/officeDocument/2006/relationships/hyperlink" Target="https://app.powerbigov.us/view?r=eyJrIjoiMGQwYWFjMmYtNTE0Ni00YmZhLTg4MmYtMzczYjVkMzYxNjM5IiwidCI6IjM0NTZmZTkyLWNiZDEtNDA2ZC1iNWEzLTUzNjRiZWMwYTgzMyJ9" TargetMode="External"/><Relationship Id="rId6" Type="http://schemas.openxmlformats.org/officeDocument/2006/relationships/hyperlink" Target="https://csat.bjs.ojp.gov/advanced-query" TargetMode="External"/><Relationship Id="rId7" Type="http://schemas.openxmlformats.org/officeDocument/2006/relationships/hyperlink" Target="https://csat.bjs.ojp.gov/advanced-query" TargetMode="External"/><Relationship Id="rId8" Type="http://schemas.openxmlformats.org/officeDocument/2006/relationships/hyperlink" Target="https://www.ojp.gov/pdffiles1/Digitization/111098NCJR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13"/>
    <col customWidth="1" min="2" max="2" width="25.25"/>
    <col customWidth="1" min="5" max="5" width="15.0"/>
  </cols>
  <sheetData>
    <row r="1">
      <c r="A1" s="1" t="s">
        <v>0</v>
      </c>
      <c r="C1" s="2" t="s">
        <v>1</v>
      </c>
      <c r="D1" s="2" t="s">
        <v>2</v>
      </c>
      <c r="E1" s="2" t="s">
        <v>3</v>
      </c>
      <c r="F1" s="2" t="s">
        <v>4</v>
      </c>
      <c r="G1" s="3"/>
      <c r="H1" s="3"/>
      <c r="I1" s="3"/>
      <c r="J1" s="3"/>
      <c r="K1" s="3"/>
      <c r="L1" s="3"/>
      <c r="M1" s="3"/>
      <c r="N1" s="3"/>
      <c r="O1" s="3"/>
      <c r="P1" s="3"/>
      <c r="Q1" s="3"/>
      <c r="R1" s="3"/>
      <c r="S1" s="3"/>
      <c r="T1" s="3"/>
      <c r="U1" s="3"/>
      <c r="V1" s="3"/>
      <c r="W1" s="3"/>
      <c r="X1" s="3"/>
      <c r="Y1" s="3"/>
      <c r="Z1" s="3"/>
      <c r="AA1" s="3"/>
      <c r="AB1" s="3"/>
    </row>
    <row r="2">
      <c r="A2" s="2" t="s">
        <v>5</v>
      </c>
      <c r="B2" s="2" t="s">
        <v>6</v>
      </c>
      <c r="C2" s="4">
        <f>Summary!J2</f>
        <v>1920</v>
      </c>
      <c r="D2" s="4">
        <f>Summary!J3</f>
        <v>331</v>
      </c>
      <c r="E2" s="2">
        <f>Summary!E5</f>
        <v>74</v>
      </c>
      <c r="F2" s="2">
        <f>Summary!G5</f>
        <v>257</v>
      </c>
      <c r="G2" s="3"/>
      <c r="H2" s="3"/>
      <c r="I2" s="3"/>
      <c r="J2" s="3"/>
      <c r="K2" s="3"/>
      <c r="L2" s="3"/>
      <c r="M2" s="3"/>
      <c r="N2" s="3"/>
      <c r="O2" s="3"/>
      <c r="P2" s="3"/>
      <c r="Q2" s="3"/>
      <c r="R2" s="3"/>
      <c r="S2" s="3"/>
      <c r="T2" s="3"/>
      <c r="U2" s="3"/>
      <c r="V2" s="3"/>
      <c r="W2" s="3"/>
      <c r="X2" s="3"/>
      <c r="Y2" s="3"/>
      <c r="Z2" s="3"/>
      <c r="AA2" s="3"/>
      <c r="AB2" s="3"/>
    </row>
    <row r="3">
      <c r="A3" s="5" t="s">
        <v>7</v>
      </c>
      <c r="B3" s="6" t="s">
        <v>8</v>
      </c>
      <c r="C3" s="7">
        <v>1595.0</v>
      </c>
      <c r="D3" s="8">
        <v>43.0</v>
      </c>
      <c r="E3" s="8">
        <v>10.0</v>
      </c>
      <c r="F3" s="8">
        <v>33.0</v>
      </c>
      <c r="G3" s="9"/>
      <c r="H3" s="9"/>
      <c r="I3" s="9"/>
      <c r="J3" s="9"/>
      <c r="K3" s="9"/>
      <c r="L3" s="9"/>
      <c r="M3" s="9"/>
      <c r="N3" s="9"/>
      <c r="O3" s="9"/>
      <c r="P3" s="9"/>
      <c r="Q3" s="9"/>
      <c r="R3" s="9"/>
      <c r="S3" s="9"/>
      <c r="T3" s="9"/>
      <c r="U3" s="9"/>
      <c r="V3" s="9"/>
      <c r="W3" s="9"/>
      <c r="X3" s="9"/>
      <c r="Y3" s="9"/>
      <c r="Z3" s="9"/>
      <c r="AA3" s="9"/>
      <c r="AB3" s="9"/>
    </row>
    <row r="4">
      <c r="A4" s="10" t="s">
        <v>9</v>
      </c>
      <c r="B4" s="11" t="s">
        <v>10</v>
      </c>
      <c r="C4" s="12">
        <v>1585.0</v>
      </c>
      <c r="D4" s="13">
        <v>183.0</v>
      </c>
      <c r="E4" s="13">
        <v>16.0</v>
      </c>
      <c r="F4" s="13">
        <v>167.0</v>
      </c>
      <c r="G4" s="14"/>
      <c r="H4" s="15"/>
      <c r="I4" s="15"/>
      <c r="J4" s="15"/>
      <c r="K4" s="15"/>
      <c r="L4" s="15"/>
      <c r="M4" s="15"/>
      <c r="N4" s="15"/>
      <c r="O4" s="15"/>
      <c r="P4" s="15"/>
      <c r="Q4" s="15"/>
      <c r="R4" s="15"/>
      <c r="S4" s="15"/>
      <c r="T4" s="15"/>
      <c r="U4" s="15"/>
      <c r="V4" s="15"/>
      <c r="W4" s="15"/>
      <c r="X4" s="15"/>
      <c r="Y4" s="15"/>
      <c r="Z4" s="15"/>
      <c r="AA4" s="15"/>
      <c r="AB4" s="15"/>
    </row>
    <row r="5">
      <c r="A5" s="16" t="s">
        <v>11</v>
      </c>
      <c r="B5" s="17" t="s">
        <v>12</v>
      </c>
      <c r="C5" s="7">
        <v>2220.0</v>
      </c>
      <c r="D5" s="8">
        <v>41.0</v>
      </c>
      <c r="E5" s="8">
        <v>5.0</v>
      </c>
      <c r="F5" s="8">
        <v>36.0</v>
      </c>
      <c r="G5" s="9"/>
      <c r="H5" s="9"/>
      <c r="I5" s="9"/>
      <c r="J5" s="9"/>
      <c r="K5" s="9"/>
      <c r="L5" s="9"/>
      <c r="M5" s="9"/>
      <c r="N5" s="9"/>
      <c r="O5" s="9"/>
      <c r="P5" s="9"/>
      <c r="Q5" s="9"/>
      <c r="R5" s="9"/>
      <c r="S5" s="9"/>
      <c r="T5" s="9"/>
      <c r="U5" s="9"/>
      <c r="V5" s="9"/>
      <c r="W5" s="9"/>
      <c r="X5" s="9"/>
      <c r="Y5" s="9"/>
      <c r="Z5" s="9"/>
      <c r="AA5" s="9"/>
      <c r="AB5" s="9"/>
    </row>
    <row r="6">
      <c r="A6" s="18">
        <v>2007.0</v>
      </c>
      <c r="B6" s="19" t="s">
        <v>13</v>
      </c>
      <c r="C6" s="13" t="s">
        <v>14</v>
      </c>
      <c r="D6" s="13" t="s">
        <v>14</v>
      </c>
      <c r="E6" s="13" t="s">
        <v>14</v>
      </c>
      <c r="F6" s="13">
        <v>1.0</v>
      </c>
      <c r="G6" s="15"/>
      <c r="H6" s="15"/>
      <c r="I6" s="15"/>
      <c r="J6" s="15"/>
      <c r="K6" s="15"/>
      <c r="L6" s="15"/>
      <c r="M6" s="15"/>
      <c r="N6" s="15"/>
      <c r="O6" s="15"/>
      <c r="P6" s="15"/>
      <c r="Q6" s="15"/>
      <c r="R6" s="15"/>
      <c r="S6" s="15"/>
      <c r="T6" s="15"/>
      <c r="U6" s="15"/>
      <c r="V6" s="15"/>
      <c r="W6" s="15"/>
      <c r="X6" s="15"/>
      <c r="Y6" s="15"/>
      <c r="Z6" s="15"/>
      <c r="AA6" s="15"/>
      <c r="AB6" s="15"/>
    </row>
    <row r="7">
      <c r="A7" s="16" t="s">
        <v>15</v>
      </c>
      <c r="B7" s="17" t="s">
        <v>16</v>
      </c>
      <c r="C7" s="8" t="s">
        <v>14</v>
      </c>
      <c r="D7" s="8">
        <v>39.0</v>
      </c>
      <c r="E7" s="8">
        <v>9.0</v>
      </c>
      <c r="F7" s="8">
        <v>30.0</v>
      </c>
      <c r="G7" s="9"/>
      <c r="H7" s="9"/>
      <c r="I7" s="9"/>
      <c r="J7" s="9"/>
      <c r="K7" s="9"/>
      <c r="L7" s="9"/>
      <c r="M7" s="9"/>
      <c r="N7" s="9"/>
      <c r="O7" s="9"/>
      <c r="P7" s="9"/>
      <c r="Q7" s="9"/>
      <c r="R7" s="9"/>
      <c r="S7" s="9"/>
      <c r="T7" s="9"/>
      <c r="U7" s="9"/>
      <c r="V7" s="9"/>
      <c r="W7" s="9"/>
      <c r="X7" s="9"/>
      <c r="Y7" s="9"/>
      <c r="Z7" s="9"/>
      <c r="AA7" s="9"/>
      <c r="AB7" s="9"/>
    </row>
    <row r="8">
      <c r="A8" s="18" t="s">
        <v>17</v>
      </c>
      <c r="B8" s="19" t="s">
        <v>18</v>
      </c>
      <c r="C8" s="13" t="s">
        <v>14</v>
      </c>
      <c r="D8" s="13" t="s">
        <v>14</v>
      </c>
      <c r="E8" s="13" t="s">
        <v>14</v>
      </c>
      <c r="F8" s="13" t="s">
        <v>14</v>
      </c>
      <c r="G8" s="15"/>
      <c r="H8" s="15"/>
      <c r="I8" s="15"/>
      <c r="J8" s="15"/>
      <c r="K8" s="15"/>
      <c r="L8" s="15"/>
      <c r="M8" s="15"/>
      <c r="N8" s="15"/>
      <c r="O8" s="15"/>
      <c r="P8" s="15"/>
      <c r="Q8" s="15"/>
      <c r="R8" s="15"/>
      <c r="S8" s="15"/>
      <c r="T8" s="15"/>
      <c r="U8" s="15"/>
      <c r="V8" s="15"/>
      <c r="W8" s="15"/>
      <c r="X8" s="15"/>
      <c r="Y8" s="15"/>
      <c r="Z8" s="15"/>
      <c r="AA8" s="15"/>
      <c r="AB8" s="15"/>
    </row>
    <row r="9">
      <c r="A9" s="16" t="s">
        <v>19</v>
      </c>
      <c r="B9" s="17" t="s">
        <v>20</v>
      </c>
      <c r="C9" s="8" t="s">
        <v>14</v>
      </c>
      <c r="D9" s="8">
        <v>20.0</v>
      </c>
      <c r="E9" s="8">
        <v>9.0</v>
      </c>
      <c r="F9" s="8">
        <v>11.0</v>
      </c>
      <c r="G9" s="9"/>
      <c r="H9" s="9"/>
      <c r="I9" s="9"/>
      <c r="J9" s="9"/>
      <c r="K9" s="9"/>
      <c r="L9" s="9"/>
      <c r="M9" s="9"/>
      <c r="N9" s="9"/>
      <c r="O9" s="9"/>
      <c r="P9" s="9"/>
      <c r="Q9" s="9"/>
      <c r="R9" s="9"/>
      <c r="S9" s="9"/>
      <c r="T9" s="9"/>
      <c r="U9" s="9"/>
      <c r="V9" s="9"/>
      <c r="W9" s="9"/>
      <c r="X9" s="9"/>
      <c r="Y9" s="9"/>
      <c r="Z9" s="9"/>
      <c r="AA9" s="9"/>
      <c r="AB9" s="9"/>
    </row>
    <row r="10">
      <c r="A10" s="20" t="s">
        <v>21</v>
      </c>
      <c r="B10" s="11" t="s">
        <v>22</v>
      </c>
      <c r="C10" s="13" t="s">
        <v>14</v>
      </c>
      <c r="D10" s="13" t="s">
        <v>14</v>
      </c>
      <c r="E10" s="13" t="s">
        <v>14</v>
      </c>
      <c r="F10" s="13" t="s">
        <v>14</v>
      </c>
      <c r="G10" s="15"/>
      <c r="H10" s="15"/>
      <c r="I10" s="15"/>
      <c r="J10" s="15"/>
      <c r="K10" s="15"/>
      <c r="L10" s="15"/>
      <c r="M10" s="15"/>
      <c r="N10" s="15"/>
      <c r="O10" s="15"/>
      <c r="P10" s="15"/>
      <c r="Q10" s="15"/>
      <c r="R10" s="15"/>
      <c r="S10" s="15"/>
      <c r="T10" s="15"/>
      <c r="U10" s="15"/>
      <c r="V10" s="15"/>
      <c r="W10" s="15"/>
      <c r="X10" s="15"/>
      <c r="Y10" s="15"/>
      <c r="Z10" s="15"/>
      <c r="AA10" s="15"/>
      <c r="AB10" s="15"/>
    </row>
    <row r="11">
      <c r="A11" s="21" t="s">
        <v>23</v>
      </c>
      <c r="B11" s="6" t="s">
        <v>24</v>
      </c>
      <c r="C11" s="22" t="s">
        <v>14</v>
      </c>
      <c r="D11" s="22" t="s">
        <v>14</v>
      </c>
      <c r="E11" s="22" t="s">
        <v>14</v>
      </c>
      <c r="F11" s="22" t="s">
        <v>14</v>
      </c>
      <c r="G11" s="9"/>
      <c r="H11" s="9"/>
      <c r="I11" s="9"/>
      <c r="J11" s="9"/>
      <c r="K11" s="9"/>
      <c r="L11" s="9"/>
      <c r="M11" s="9"/>
      <c r="N11" s="9"/>
      <c r="O11" s="9"/>
      <c r="P11" s="9"/>
      <c r="Q11" s="9"/>
      <c r="R11" s="9"/>
      <c r="S11" s="9"/>
      <c r="T11" s="9"/>
      <c r="U11" s="9"/>
      <c r="V11" s="9"/>
      <c r="W11" s="9"/>
      <c r="X11" s="9"/>
      <c r="Y11" s="9"/>
      <c r="Z11" s="9"/>
      <c r="AA11" s="9"/>
      <c r="AB11" s="9"/>
    </row>
    <row r="12">
      <c r="A12" s="20" t="s">
        <v>25</v>
      </c>
      <c r="B12" s="20" t="s">
        <v>26</v>
      </c>
      <c r="C12" s="13" t="s">
        <v>14</v>
      </c>
      <c r="D12" s="13" t="s">
        <v>14</v>
      </c>
      <c r="E12" s="13" t="s">
        <v>14</v>
      </c>
      <c r="F12" s="13" t="s">
        <v>14</v>
      </c>
      <c r="G12" s="23"/>
      <c r="H12" s="23"/>
      <c r="I12" s="23"/>
      <c r="J12" s="23"/>
      <c r="K12" s="23"/>
      <c r="L12" s="23"/>
      <c r="M12" s="23"/>
      <c r="N12" s="23"/>
      <c r="O12" s="23"/>
      <c r="P12" s="23"/>
      <c r="Q12" s="23"/>
      <c r="R12" s="23"/>
      <c r="S12" s="23"/>
      <c r="T12" s="23"/>
      <c r="U12" s="23"/>
      <c r="V12" s="23"/>
      <c r="W12" s="23"/>
      <c r="X12" s="23"/>
      <c r="Y12" s="23"/>
      <c r="Z12" s="23"/>
      <c r="AA12" s="23"/>
      <c r="AB12" s="23"/>
    </row>
    <row r="13">
      <c r="A13" s="23"/>
      <c r="B13" s="23"/>
      <c r="C13" s="24"/>
      <c r="D13" s="24"/>
      <c r="E13" s="24"/>
      <c r="F13" s="24"/>
      <c r="G13" s="15"/>
      <c r="H13" s="15"/>
      <c r="I13" s="15"/>
      <c r="J13" s="15"/>
      <c r="K13" s="15"/>
      <c r="L13" s="15"/>
      <c r="M13" s="15"/>
      <c r="N13" s="15"/>
      <c r="O13" s="15"/>
      <c r="P13" s="15"/>
      <c r="Q13" s="15"/>
      <c r="R13" s="15"/>
      <c r="S13" s="15"/>
      <c r="T13" s="15"/>
      <c r="U13" s="15"/>
      <c r="V13" s="15"/>
      <c r="W13" s="15"/>
      <c r="X13" s="15"/>
      <c r="Y13" s="15"/>
      <c r="Z13" s="15"/>
      <c r="AA13" s="15"/>
      <c r="AB13" s="15"/>
    </row>
    <row r="14">
      <c r="A14" s="23"/>
      <c r="B14" s="23"/>
      <c r="C14" s="24"/>
      <c r="D14" s="24"/>
      <c r="E14" s="24"/>
      <c r="F14" s="24"/>
      <c r="G14" s="15"/>
      <c r="H14" s="15"/>
      <c r="I14" s="15"/>
      <c r="J14" s="15"/>
      <c r="K14" s="15"/>
      <c r="L14" s="15"/>
      <c r="M14" s="15"/>
      <c r="N14" s="15"/>
      <c r="O14" s="15"/>
      <c r="P14" s="15"/>
      <c r="Q14" s="15"/>
      <c r="R14" s="15"/>
      <c r="S14" s="15"/>
      <c r="T14" s="15"/>
      <c r="U14" s="15"/>
      <c r="V14" s="15"/>
      <c r="W14" s="15"/>
      <c r="X14" s="15"/>
      <c r="Y14" s="15"/>
      <c r="Z14" s="15"/>
      <c r="AA14" s="15"/>
      <c r="AB14" s="15"/>
    </row>
    <row r="15">
      <c r="A15" s="23"/>
      <c r="B15" s="23"/>
      <c r="C15" s="2"/>
      <c r="D15" s="2"/>
      <c r="E15" s="2"/>
      <c r="F15" s="2"/>
      <c r="G15" s="15"/>
      <c r="H15" s="15"/>
      <c r="I15" s="15"/>
      <c r="J15" s="15"/>
      <c r="K15" s="15"/>
      <c r="L15" s="15"/>
      <c r="M15" s="15"/>
      <c r="N15" s="15"/>
      <c r="O15" s="15"/>
      <c r="P15" s="15"/>
      <c r="Q15" s="15"/>
      <c r="R15" s="15"/>
      <c r="S15" s="15"/>
      <c r="T15" s="15"/>
      <c r="U15" s="15"/>
      <c r="V15" s="15"/>
      <c r="W15" s="15"/>
      <c r="X15" s="15"/>
      <c r="Y15" s="15"/>
      <c r="Z15" s="15"/>
      <c r="AA15" s="15"/>
      <c r="AB15" s="15"/>
    </row>
    <row r="16">
      <c r="A16" s="23"/>
      <c r="B16" s="23"/>
      <c r="C16" s="24"/>
      <c r="D16" s="24"/>
      <c r="E16" s="24"/>
      <c r="F16" s="24"/>
      <c r="G16" s="15"/>
      <c r="H16" s="15"/>
      <c r="I16" s="15"/>
      <c r="J16" s="15"/>
      <c r="K16" s="15"/>
      <c r="L16" s="15"/>
      <c r="M16" s="15"/>
      <c r="N16" s="15"/>
      <c r="O16" s="15"/>
      <c r="P16" s="15"/>
      <c r="Q16" s="15"/>
      <c r="R16" s="15"/>
      <c r="S16" s="15"/>
      <c r="T16" s="15"/>
      <c r="U16" s="15"/>
      <c r="V16" s="15"/>
      <c r="W16" s="15"/>
      <c r="X16" s="15"/>
      <c r="Y16" s="15"/>
      <c r="Z16" s="15"/>
      <c r="AA16" s="15"/>
      <c r="AB16" s="15"/>
    </row>
    <row r="17">
      <c r="A17" s="23"/>
      <c r="B17" s="23"/>
      <c r="C17" s="24"/>
      <c r="D17" s="24"/>
      <c r="E17" s="24"/>
      <c r="F17" s="24"/>
      <c r="G17" s="15"/>
      <c r="H17" s="15"/>
      <c r="I17" s="15"/>
      <c r="J17" s="15"/>
      <c r="K17" s="15"/>
      <c r="L17" s="15"/>
      <c r="M17" s="15"/>
      <c r="N17" s="15"/>
      <c r="O17" s="15"/>
      <c r="P17" s="15"/>
      <c r="Q17" s="15"/>
      <c r="R17" s="15"/>
      <c r="S17" s="15"/>
      <c r="T17" s="15"/>
      <c r="U17" s="15"/>
      <c r="V17" s="15"/>
      <c r="W17" s="15"/>
      <c r="X17" s="15"/>
      <c r="Y17" s="15"/>
      <c r="Z17" s="15"/>
      <c r="AA17" s="15"/>
      <c r="AB17" s="15"/>
    </row>
    <row r="18">
      <c r="A18" s="23"/>
      <c r="B18" s="23"/>
      <c r="C18" s="24"/>
      <c r="D18" s="24"/>
      <c r="E18" s="24"/>
      <c r="F18" s="24"/>
      <c r="G18" s="15"/>
      <c r="H18" s="15"/>
      <c r="I18" s="15"/>
      <c r="J18" s="15"/>
      <c r="K18" s="15"/>
      <c r="L18" s="15"/>
      <c r="M18" s="15"/>
      <c r="N18" s="15"/>
      <c r="O18" s="15"/>
      <c r="P18" s="15"/>
      <c r="Q18" s="15"/>
      <c r="R18" s="15"/>
      <c r="S18" s="15"/>
      <c r="T18" s="15"/>
      <c r="U18" s="15"/>
      <c r="V18" s="15"/>
      <c r="W18" s="15"/>
      <c r="X18" s="15"/>
      <c r="Y18" s="15"/>
      <c r="Z18" s="15"/>
      <c r="AA18" s="15"/>
      <c r="AB18" s="15"/>
    </row>
    <row r="19">
      <c r="A19" s="23"/>
      <c r="B19" s="15"/>
      <c r="C19" s="24"/>
      <c r="D19" s="24"/>
      <c r="E19" s="24"/>
      <c r="F19" s="24"/>
      <c r="G19" s="15"/>
      <c r="H19" s="15"/>
      <c r="I19" s="15"/>
      <c r="J19" s="15"/>
      <c r="K19" s="15"/>
      <c r="L19" s="15"/>
      <c r="M19" s="15"/>
      <c r="N19" s="15"/>
      <c r="O19" s="15"/>
      <c r="P19" s="15"/>
      <c r="Q19" s="15"/>
      <c r="R19" s="15"/>
      <c r="S19" s="15"/>
      <c r="T19" s="15"/>
      <c r="U19" s="15"/>
      <c r="V19" s="15"/>
      <c r="W19" s="15"/>
      <c r="X19" s="15"/>
      <c r="Y19" s="15"/>
      <c r="Z19" s="15"/>
      <c r="AA19" s="15"/>
      <c r="AB19" s="15"/>
    </row>
    <row r="20">
      <c r="A20" s="23"/>
      <c r="B20" s="15"/>
      <c r="C20" s="24"/>
      <c r="D20" s="24"/>
      <c r="E20" s="24"/>
      <c r="F20" s="24"/>
      <c r="G20" s="15"/>
      <c r="H20" s="15"/>
      <c r="I20" s="15"/>
      <c r="J20" s="15"/>
      <c r="K20" s="15"/>
      <c r="L20" s="15"/>
      <c r="M20" s="15"/>
      <c r="N20" s="15"/>
      <c r="O20" s="15"/>
      <c r="P20" s="15"/>
      <c r="Q20" s="15"/>
      <c r="R20" s="15"/>
      <c r="S20" s="15"/>
      <c r="T20" s="15"/>
      <c r="U20" s="15"/>
      <c r="V20" s="15"/>
      <c r="W20" s="15"/>
      <c r="X20" s="15"/>
      <c r="Y20" s="15"/>
      <c r="Z20" s="15"/>
      <c r="AA20" s="15"/>
      <c r="AB20" s="15"/>
    </row>
    <row r="21">
      <c r="A21" s="15"/>
      <c r="B21" s="15"/>
      <c r="C21" s="24"/>
      <c r="D21" s="24"/>
      <c r="E21" s="24"/>
      <c r="F21" s="24"/>
      <c r="G21" s="15"/>
      <c r="H21" s="15"/>
      <c r="I21" s="15"/>
      <c r="J21" s="15"/>
      <c r="K21" s="15"/>
      <c r="L21" s="15"/>
      <c r="M21" s="15"/>
      <c r="N21" s="15"/>
      <c r="O21" s="15"/>
      <c r="P21" s="15"/>
      <c r="Q21" s="15"/>
      <c r="R21" s="15"/>
      <c r="S21" s="15"/>
      <c r="T21" s="15"/>
      <c r="U21" s="15"/>
      <c r="V21" s="15"/>
      <c r="W21" s="15"/>
      <c r="X21" s="15"/>
      <c r="Y21" s="15"/>
      <c r="Z21" s="15"/>
      <c r="AA21" s="15"/>
      <c r="AB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row>
  </sheetData>
  <mergeCells count="1">
    <mergeCell ref="A1:B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8.63"/>
    <col customWidth="1" min="2" max="2" width="22.38"/>
    <col customWidth="1" min="3" max="3" width="16.5"/>
    <col customWidth="1" min="4" max="7" width="11.25"/>
    <col customWidth="1" min="8" max="8" width="15.13"/>
    <col customWidth="1" min="9" max="9" width="25.63"/>
    <col customWidth="1" min="10" max="16" width="5.0"/>
  </cols>
  <sheetData>
    <row r="1" ht="15.75" customHeight="1">
      <c r="A1" s="25" t="s">
        <v>27</v>
      </c>
      <c r="C1" s="26"/>
      <c r="I1" s="27"/>
      <c r="J1" s="28"/>
      <c r="K1" s="29"/>
      <c r="L1" s="29"/>
      <c r="M1" s="29"/>
      <c r="N1" s="29"/>
      <c r="O1" s="29"/>
      <c r="P1" s="30"/>
      <c r="Q1" s="26"/>
      <c r="R1" s="26"/>
      <c r="S1" s="26"/>
      <c r="T1" s="26"/>
      <c r="U1" s="26"/>
      <c r="V1" s="26"/>
      <c r="W1" s="26"/>
      <c r="X1" s="26"/>
      <c r="Y1" s="26"/>
      <c r="Z1" s="26"/>
      <c r="AA1" s="26"/>
      <c r="AB1" s="26"/>
      <c r="AC1" s="26"/>
      <c r="AD1" s="26"/>
    </row>
    <row r="2" ht="27.0" customHeight="1">
      <c r="A2" s="31" t="s">
        <v>28</v>
      </c>
      <c r="B2" s="32" t="s">
        <v>6</v>
      </c>
      <c r="C2" s="33" t="s">
        <v>29</v>
      </c>
      <c r="D2" s="34" t="s">
        <v>30</v>
      </c>
      <c r="E2" s="35"/>
      <c r="F2" s="36" t="s">
        <v>31</v>
      </c>
      <c r="G2" s="35"/>
      <c r="H2" s="37" t="s">
        <v>32</v>
      </c>
      <c r="I2" s="38" t="s">
        <v>33</v>
      </c>
      <c r="J2" s="39">
        <f>E4+G4</f>
        <v>1920</v>
      </c>
      <c r="K2" s="40"/>
      <c r="L2" s="40"/>
      <c r="M2" s="41"/>
      <c r="N2" s="42"/>
      <c r="O2" s="42"/>
      <c r="P2" s="42"/>
      <c r="Q2" s="43"/>
      <c r="R2" s="42"/>
      <c r="S2" s="42"/>
      <c r="T2" s="42"/>
      <c r="U2" s="42"/>
      <c r="V2" s="42"/>
      <c r="W2" s="42"/>
      <c r="X2" s="42"/>
      <c r="Y2" s="42"/>
      <c r="Z2" s="42"/>
      <c r="AA2" s="42"/>
      <c r="AB2" s="42"/>
      <c r="AC2" s="42"/>
      <c r="AD2" s="42"/>
    </row>
    <row r="3" ht="27.0" customHeight="1">
      <c r="A3" s="44"/>
      <c r="B3" s="45"/>
      <c r="C3" s="46"/>
      <c r="D3" s="47"/>
      <c r="E3" s="46"/>
      <c r="F3" s="29"/>
      <c r="G3" s="46"/>
      <c r="H3" s="46"/>
      <c r="I3" s="38" t="s">
        <v>34</v>
      </c>
      <c r="J3" s="48">
        <f>SUM(I7:I1008)</f>
        <v>331</v>
      </c>
      <c r="K3" s="40"/>
      <c r="L3" s="40"/>
      <c r="M3" s="41"/>
      <c r="N3" s="49"/>
      <c r="O3" s="49"/>
      <c r="P3" s="49"/>
      <c r="Q3" s="50"/>
      <c r="R3" s="42"/>
      <c r="S3" s="42"/>
      <c r="T3" s="42"/>
      <c r="U3" s="42"/>
      <c r="V3" s="42"/>
      <c r="W3" s="42"/>
      <c r="X3" s="42"/>
      <c r="Y3" s="42"/>
      <c r="Z3" s="42"/>
      <c r="AA3" s="42"/>
      <c r="AB3" s="42"/>
      <c r="AC3" s="42"/>
      <c r="AD3" s="42"/>
    </row>
    <row r="4" ht="15.75" customHeight="1">
      <c r="A4" s="44"/>
      <c r="B4" s="45"/>
      <c r="C4" s="51" t="s">
        <v>35</v>
      </c>
      <c r="D4" s="52" t="s">
        <v>36</v>
      </c>
      <c r="E4" s="53">
        <f>SUM(D7:D1008)</f>
        <v>1277</v>
      </c>
      <c r="F4" s="54" t="s">
        <v>36</v>
      </c>
      <c r="G4" s="55">
        <f>SUM(F7:F1008)</f>
        <v>643</v>
      </c>
      <c r="H4" s="56" t="s">
        <v>35</v>
      </c>
      <c r="I4" s="42"/>
      <c r="J4" s="57"/>
      <c r="K4" s="57"/>
      <c r="L4" s="57"/>
      <c r="M4" s="58"/>
      <c r="N4" s="49"/>
      <c r="O4" s="49"/>
      <c r="P4" s="49"/>
      <c r="Q4" s="50"/>
      <c r="R4" s="42"/>
      <c r="S4" s="42"/>
      <c r="T4" s="42"/>
      <c r="U4" s="42"/>
      <c r="V4" s="42"/>
      <c r="W4" s="42"/>
      <c r="X4" s="42"/>
      <c r="Y4" s="42"/>
      <c r="Z4" s="42"/>
      <c r="AA4" s="42"/>
      <c r="AB4" s="42"/>
      <c r="AC4" s="42"/>
      <c r="AD4" s="42"/>
    </row>
    <row r="5" ht="15.75" customHeight="1">
      <c r="A5" s="44"/>
      <c r="B5" s="45"/>
      <c r="C5" s="59">
        <f>SUM(C7:C97)</f>
        <v>2045</v>
      </c>
      <c r="D5" s="60" t="s">
        <v>37</v>
      </c>
      <c r="E5" s="61">
        <f>SUM(E7:E97)</f>
        <v>74</v>
      </c>
      <c r="F5" s="62" t="s">
        <v>37</v>
      </c>
      <c r="G5" s="63">
        <f>SUM(G7:G1008)</f>
        <v>257</v>
      </c>
      <c r="H5" s="64">
        <f>SUM(H7:H97)</f>
        <v>0</v>
      </c>
      <c r="I5" s="29"/>
      <c r="J5" s="29"/>
      <c r="K5" s="29"/>
      <c r="L5" s="29"/>
      <c r="M5" s="30"/>
      <c r="N5" s="65"/>
      <c r="O5" s="65"/>
      <c r="P5" s="65"/>
      <c r="Q5" s="66"/>
      <c r="R5" s="67"/>
      <c r="S5" s="67"/>
      <c r="T5" s="67"/>
      <c r="U5" s="67"/>
      <c r="V5" s="67"/>
      <c r="W5" s="67"/>
      <c r="X5" s="67"/>
      <c r="Y5" s="67"/>
      <c r="Z5" s="67"/>
      <c r="AA5" s="67"/>
      <c r="AB5" s="67"/>
      <c r="AC5" s="67"/>
      <c r="AD5" s="67"/>
    </row>
    <row r="6" ht="15.75" customHeight="1">
      <c r="A6" s="68"/>
      <c r="B6" s="69"/>
      <c r="C6" s="70"/>
      <c r="D6" s="71" t="s">
        <v>38</v>
      </c>
      <c r="E6" s="72" t="s">
        <v>39</v>
      </c>
      <c r="F6" s="73" t="s">
        <v>38</v>
      </c>
      <c r="G6" s="74" t="s">
        <v>39</v>
      </c>
      <c r="H6" s="75"/>
      <c r="I6" s="76" t="s">
        <v>40</v>
      </c>
      <c r="J6" s="77" t="s">
        <v>41</v>
      </c>
      <c r="K6" s="40"/>
      <c r="L6" s="40"/>
      <c r="M6" s="40"/>
      <c r="N6" s="40"/>
      <c r="O6" s="40"/>
      <c r="P6" s="41"/>
      <c r="Q6" s="67"/>
      <c r="R6" s="67"/>
      <c r="S6" s="67"/>
      <c r="T6" s="67"/>
      <c r="U6" s="67"/>
      <c r="V6" s="67"/>
      <c r="W6" s="67"/>
      <c r="X6" s="67"/>
      <c r="Y6" s="67"/>
      <c r="Z6" s="67"/>
      <c r="AA6" s="67"/>
      <c r="AB6" s="67"/>
      <c r="AC6" s="67"/>
      <c r="AD6" s="67"/>
    </row>
    <row r="7" ht="15.75" customHeight="1">
      <c r="A7" s="78">
        <v>2023.0</v>
      </c>
      <c r="B7" s="79" t="s">
        <v>8</v>
      </c>
      <c r="C7" s="80">
        <v>1595.0</v>
      </c>
      <c r="D7" s="81">
        <v>1139.0</v>
      </c>
      <c r="E7" s="82">
        <v>9.0</v>
      </c>
      <c r="F7" s="81">
        <v>456.0</v>
      </c>
      <c r="G7" s="82">
        <v>27.0</v>
      </c>
      <c r="H7" s="80"/>
      <c r="I7" s="83">
        <f t="shared" ref="I7:I98" si="1">SUM(E7,G7,H7)</f>
        <v>36</v>
      </c>
      <c r="J7" s="84"/>
      <c r="K7" s="85"/>
      <c r="L7" s="86"/>
      <c r="M7" s="86"/>
      <c r="N7" s="86"/>
      <c r="O7" s="86"/>
      <c r="P7" s="86"/>
      <c r="Q7" s="86"/>
      <c r="R7" s="86"/>
      <c r="S7" s="86"/>
      <c r="T7" s="86"/>
      <c r="U7" s="86"/>
      <c r="V7" s="86"/>
      <c r="W7" s="86"/>
      <c r="X7" s="86"/>
      <c r="Y7" s="86"/>
      <c r="Z7" s="86"/>
      <c r="AA7" s="86"/>
      <c r="AB7" s="86"/>
      <c r="AC7" s="86"/>
      <c r="AD7" s="86"/>
    </row>
    <row r="8" ht="15.75" customHeight="1">
      <c r="A8" s="86">
        <v>2022.0</v>
      </c>
      <c r="B8" s="87" t="s">
        <v>8</v>
      </c>
      <c r="C8" s="88" t="s">
        <v>42</v>
      </c>
      <c r="D8" s="85" t="s">
        <v>42</v>
      </c>
      <c r="E8" s="89">
        <v>4.0</v>
      </c>
      <c r="F8" s="85" t="s">
        <v>42</v>
      </c>
      <c r="G8" s="89">
        <v>9.0</v>
      </c>
      <c r="H8" s="90"/>
      <c r="I8" s="83">
        <f t="shared" si="1"/>
        <v>13</v>
      </c>
      <c r="J8" s="91"/>
      <c r="K8" s="85"/>
      <c r="L8" s="86"/>
      <c r="M8" s="86"/>
      <c r="N8" s="86"/>
      <c r="O8" s="86"/>
      <c r="P8" s="86"/>
      <c r="Q8" s="86"/>
      <c r="R8" s="86"/>
      <c r="S8" s="86"/>
      <c r="T8" s="86"/>
      <c r="U8" s="86"/>
      <c r="V8" s="86"/>
      <c r="W8" s="86"/>
      <c r="X8" s="86"/>
      <c r="Y8" s="86"/>
      <c r="Z8" s="86"/>
      <c r="AA8" s="86"/>
      <c r="AB8" s="86"/>
      <c r="AC8" s="86"/>
      <c r="AD8" s="86"/>
    </row>
    <row r="9" ht="15.75" customHeight="1">
      <c r="A9" s="78">
        <v>2021.0</v>
      </c>
      <c r="B9" s="79" t="s">
        <v>8</v>
      </c>
      <c r="C9" s="88" t="s">
        <v>42</v>
      </c>
      <c r="D9" s="92" t="s">
        <v>42</v>
      </c>
      <c r="E9" s="93">
        <v>1.0</v>
      </c>
      <c r="F9" s="92" t="s">
        <v>42</v>
      </c>
      <c r="G9" s="93">
        <v>9.0</v>
      </c>
      <c r="H9" s="83"/>
      <c r="I9" s="83">
        <f t="shared" si="1"/>
        <v>10</v>
      </c>
      <c r="J9" s="91"/>
      <c r="K9" s="85"/>
      <c r="L9" s="86"/>
      <c r="M9" s="86"/>
      <c r="N9" s="86"/>
      <c r="O9" s="86"/>
      <c r="P9" s="86"/>
      <c r="Q9" s="86"/>
      <c r="R9" s="86"/>
      <c r="S9" s="86"/>
      <c r="T9" s="86"/>
      <c r="U9" s="86"/>
      <c r="V9" s="86"/>
      <c r="W9" s="86"/>
      <c r="X9" s="86"/>
      <c r="Y9" s="86"/>
      <c r="Z9" s="86"/>
      <c r="AA9" s="86"/>
      <c r="AB9" s="86"/>
      <c r="AC9" s="86"/>
      <c r="AD9" s="86"/>
    </row>
    <row r="10" ht="15.75" customHeight="1">
      <c r="A10" s="86">
        <v>2021.0</v>
      </c>
      <c r="B10" s="87" t="s">
        <v>10</v>
      </c>
      <c r="C10" s="88" t="s">
        <v>42</v>
      </c>
      <c r="D10" s="85" t="s">
        <v>42</v>
      </c>
      <c r="E10" s="89">
        <v>4.0</v>
      </c>
      <c r="F10" s="85" t="s">
        <v>42</v>
      </c>
      <c r="G10" s="89">
        <v>6.0</v>
      </c>
      <c r="H10" s="90"/>
      <c r="I10" s="83">
        <f t="shared" si="1"/>
        <v>10</v>
      </c>
      <c r="J10" s="85"/>
      <c r="K10" s="85"/>
      <c r="L10" s="86"/>
      <c r="M10" s="86"/>
      <c r="N10" s="86"/>
      <c r="O10" s="86"/>
      <c r="P10" s="86"/>
      <c r="Q10" s="86"/>
      <c r="R10" s="86"/>
      <c r="S10" s="86"/>
      <c r="T10" s="86"/>
      <c r="U10" s="86"/>
      <c r="V10" s="86"/>
      <c r="W10" s="86"/>
      <c r="X10" s="86"/>
      <c r="Y10" s="86"/>
      <c r="Z10" s="86"/>
      <c r="AA10" s="86"/>
      <c r="AB10" s="86"/>
      <c r="AC10" s="86"/>
      <c r="AD10" s="86"/>
    </row>
    <row r="11" ht="15.75" customHeight="1">
      <c r="A11" s="78">
        <v>2020.0</v>
      </c>
      <c r="B11" s="79" t="s">
        <v>10</v>
      </c>
      <c r="C11" s="88" t="s">
        <v>42</v>
      </c>
      <c r="D11" s="92" t="s">
        <v>42</v>
      </c>
      <c r="E11" s="82">
        <v>7.0</v>
      </c>
      <c r="F11" s="92" t="s">
        <v>42</v>
      </c>
      <c r="G11" s="82">
        <v>14.0</v>
      </c>
      <c r="H11" s="83"/>
      <c r="I11" s="83">
        <f t="shared" si="1"/>
        <v>21</v>
      </c>
      <c r="J11" s="94">
        <v>14.0</v>
      </c>
      <c r="K11" s="86"/>
      <c r="L11" s="86"/>
      <c r="M11" s="86"/>
      <c r="N11" s="86"/>
      <c r="O11" s="86"/>
      <c r="P11" s="86"/>
      <c r="Q11" s="86"/>
      <c r="R11" s="86"/>
      <c r="S11" s="86"/>
      <c r="T11" s="86"/>
      <c r="U11" s="86"/>
      <c r="V11" s="86"/>
      <c r="W11" s="86"/>
      <c r="X11" s="86"/>
      <c r="Y11" s="86"/>
      <c r="Z11" s="86"/>
      <c r="AA11" s="86"/>
      <c r="AB11" s="86"/>
      <c r="AC11" s="86"/>
      <c r="AD11" s="86"/>
    </row>
    <row r="12" ht="15.75" customHeight="1">
      <c r="A12" s="86">
        <v>2019.0</v>
      </c>
      <c r="B12" s="87" t="s">
        <v>10</v>
      </c>
      <c r="C12" s="88" t="s">
        <v>42</v>
      </c>
      <c r="D12" s="85" t="s">
        <v>42</v>
      </c>
      <c r="E12" s="89" t="s">
        <v>42</v>
      </c>
      <c r="F12" s="85" t="s">
        <v>42</v>
      </c>
      <c r="G12" s="89" t="s">
        <v>42</v>
      </c>
      <c r="H12" s="90"/>
      <c r="I12" s="83">
        <f t="shared" si="1"/>
        <v>0</v>
      </c>
      <c r="J12" s="85"/>
      <c r="K12" s="86"/>
      <c r="L12" s="86"/>
      <c r="M12" s="86"/>
      <c r="N12" s="86"/>
      <c r="O12" s="86"/>
      <c r="P12" s="86"/>
      <c r="Q12" s="86"/>
      <c r="R12" s="86"/>
      <c r="S12" s="86"/>
      <c r="T12" s="86"/>
      <c r="U12" s="86"/>
      <c r="V12" s="86"/>
      <c r="W12" s="86"/>
      <c r="X12" s="86"/>
      <c r="Y12" s="86"/>
      <c r="Z12" s="86"/>
      <c r="AA12" s="86"/>
      <c r="AB12" s="86"/>
      <c r="AC12" s="86"/>
      <c r="AD12" s="86"/>
    </row>
    <row r="13" ht="15.75" customHeight="1">
      <c r="A13" s="78">
        <v>2018.0</v>
      </c>
      <c r="B13" s="79" t="s">
        <v>10</v>
      </c>
      <c r="C13" s="88" t="s">
        <v>42</v>
      </c>
      <c r="D13" s="92" t="s">
        <v>42</v>
      </c>
      <c r="E13" s="93" t="s">
        <v>42</v>
      </c>
      <c r="F13" s="92" t="s">
        <v>42</v>
      </c>
      <c r="G13" s="93" t="s">
        <v>42</v>
      </c>
      <c r="H13" s="83"/>
      <c r="I13" s="83">
        <f t="shared" si="1"/>
        <v>0</v>
      </c>
      <c r="J13" s="85"/>
      <c r="K13" s="86"/>
      <c r="L13" s="86"/>
      <c r="M13" s="86"/>
      <c r="N13" s="86"/>
      <c r="O13" s="86"/>
      <c r="P13" s="86"/>
      <c r="Q13" s="86"/>
      <c r="R13" s="86"/>
      <c r="S13" s="86"/>
      <c r="T13" s="86"/>
      <c r="U13" s="86"/>
      <c r="V13" s="86"/>
      <c r="W13" s="86"/>
      <c r="X13" s="86"/>
      <c r="Y13" s="86"/>
      <c r="Z13" s="86"/>
      <c r="AA13" s="86"/>
      <c r="AB13" s="86"/>
      <c r="AC13" s="86"/>
      <c r="AD13" s="86"/>
    </row>
    <row r="14" ht="15.75" customHeight="1">
      <c r="A14" s="86">
        <v>2017.0</v>
      </c>
      <c r="B14" s="87" t="s">
        <v>10</v>
      </c>
      <c r="C14" s="88" t="s">
        <v>42</v>
      </c>
      <c r="D14" s="85" t="s">
        <v>42</v>
      </c>
      <c r="E14" s="95">
        <v>2.0</v>
      </c>
      <c r="F14" s="85" t="s">
        <v>42</v>
      </c>
      <c r="G14" s="95">
        <v>57.0</v>
      </c>
      <c r="H14" s="88"/>
      <c r="I14" s="83">
        <f t="shared" si="1"/>
        <v>59</v>
      </c>
      <c r="J14" s="96">
        <v>18.0</v>
      </c>
      <c r="K14" s="97">
        <v>19.0</v>
      </c>
      <c r="L14" s="86"/>
      <c r="M14" s="86"/>
      <c r="N14" s="86"/>
      <c r="O14" s="86"/>
      <c r="P14" s="86"/>
      <c r="Q14" s="86"/>
      <c r="R14" s="86"/>
      <c r="S14" s="86"/>
      <c r="T14" s="86"/>
      <c r="U14" s="86"/>
      <c r="V14" s="86"/>
      <c r="W14" s="86"/>
      <c r="X14" s="86"/>
      <c r="Y14" s="86"/>
      <c r="Z14" s="86"/>
      <c r="AA14" s="86"/>
      <c r="AB14" s="86"/>
      <c r="AC14" s="86"/>
      <c r="AD14" s="86"/>
    </row>
    <row r="15" ht="15.75" customHeight="1">
      <c r="A15" s="78">
        <v>2016.0</v>
      </c>
      <c r="B15" s="79" t="s">
        <v>10</v>
      </c>
      <c r="C15" s="88" t="s">
        <v>42</v>
      </c>
      <c r="D15" s="92" t="s">
        <v>42</v>
      </c>
      <c r="E15" s="82">
        <v>7.0</v>
      </c>
      <c r="F15" s="92" t="s">
        <v>42</v>
      </c>
      <c r="G15" s="82">
        <v>106.0</v>
      </c>
      <c r="H15" s="80"/>
      <c r="I15" s="83">
        <f t="shared" si="1"/>
        <v>113</v>
      </c>
      <c r="J15" s="94">
        <v>17.0</v>
      </c>
      <c r="K15" s="86"/>
      <c r="L15" s="86"/>
      <c r="M15" s="86"/>
      <c r="N15" s="86"/>
      <c r="O15" s="86"/>
      <c r="P15" s="86"/>
      <c r="Q15" s="86"/>
      <c r="R15" s="86"/>
      <c r="S15" s="86"/>
      <c r="T15" s="86"/>
      <c r="U15" s="86"/>
      <c r="V15" s="86"/>
      <c r="W15" s="86"/>
      <c r="X15" s="86"/>
      <c r="Y15" s="86"/>
      <c r="Z15" s="86"/>
      <c r="AA15" s="86"/>
      <c r="AB15" s="86"/>
      <c r="AC15" s="86"/>
      <c r="AD15" s="86"/>
    </row>
    <row r="16" ht="15.75" customHeight="1">
      <c r="A16" s="86">
        <v>2015.0</v>
      </c>
      <c r="B16" s="87" t="s">
        <v>10</v>
      </c>
      <c r="C16" s="88" t="s">
        <v>42</v>
      </c>
      <c r="D16" s="92" t="s">
        <v>42</v>
      </c>
      <c r="E16" s="95">
        <v>2.0</v>
      </c>
      <c r="F16" s="92" t="s">
        <v>42</v>
      </c>
      <c r="G16" s="95">
        <v>2.0</v>
      </c>
      <c r="H16" s="90"/>
      <c r="I16" s="83">
        <f t="shared" si="1"/>
        <v>4</v>
      </c>
      <c r="J16" s="94">
        <v>20.0</v>
      </c>
      <c r="K16" s="84"/>
      <c r="L16" s="86"/>
      <c r="M16" s="86"/>
      <c r="N16" s="86"/>
      <c r="O16" s="86"/>
      <c r="P16" s="86"/>
      <c r="Q16" s="86"/>
      <c r="R16" s="86"/>
      <c r="S16" s="86"/>
      <c r="T16" s="86"/>
      <c r="U16" s="86"/>
      <c r="V16" s="86"/>
      <c r="W16" s="86"/>
      <c r="X16" s="86"/>
      <c r="Y16" s="86"/>
      <c r="Z16" s="86"/>
      <c r="AA16" s="86"/>
      <c r="AB16" s="86"/>
      <c r="AC16" s="86"/>
      <c r="AD16" s="86"/>
    </row>
    <row r="17" ht="15.75" customHeight="1">
      <c r="A17" s="78">
        <v>2014.0</v>
      </c>
      <c r="B17" s="79" t="s">
        <v>10</v>
      </c>
      <c r="C17" s="88" t="s">
        <v>42</v>
      </c>
      <c r="D17" s="92" t="s">
        <v>42</v>
      </c>
      <c r="E17" s="93">
        <v>0.0</v>
      </c>
      <c r="F17" s="92" t="s">
        <v>42</v>
      </c>
      <c r="G17" s="93">
        <v>2.0</v>
      </c>
      <c r="H17" s="83"/>
      <c r="I17" s="83">
        <f t="shared" si="1"/>
        <v>2</v>
      </c>
      <c r="J17" s="98"/>
      <c r="K17" s="85"/>
      <c r="L17" s="98"/>
      <c r="M17" s="98"/>
      <c r="N17" s="98"/>
      <c r="O17" s="98"/>
      <c r="P17" s="98"/>
      <c r="Q17" s="98"/>
      <c r="R17" s="98"/>
      <c r="S17" s="98"/>
      <c r="T17" s="98"/>
      <c r="U17" s="98"/>
      <c r="V17" s="98"/>
      <c r="W17" s="98"/>
      <c r="X17" s="98"/>
      <c r="Y17" s="98"/>
      <c r="Z17" s="98"/>
      <c r="AA17" s="98"/>
      <c r="AB17" s="98"/>
      <c r="AC17" s="98"/>
      <c r="AD17" s="98"/>
    </row>
    <row r="18" ht="15.75" customHeight="1">
      <c r="A18" s="86">
        <v>2013.0</v>
      </c>
      <c r="B18" s="87" t="s">
        <v>10</v>
      </c>
      <c r="C18" s="88" t="s">
        <v>42</v>
      </c>
      <c r="D18" s="92" t="s">
        <v>42</v>
      </c>
      <c r="E18" s="89">
        <v>0.0</v>
      </c>
      <c r="F18" s="92" t="s">
        <v>42</v>
      </c>
      <c r="G18" s="89">
        <v>3.0</v>
      </c>
      <c r="H18" s="90"/>
      <c r="I18" s="83">
        <f t="shared" si="1"/>
        <v>3</v>
      </c>
      <c r="J18" s="99">
        <v>13.0</v>
      </c>
      <c r="K18" s="85"/>
      <c r="L18" s="100"/>
      <c r="M18" s="100"/>
      <c r="N18" s="100"/>
      <c r="O18" s="100"/>
      <c r="P18" s="100"/>
      <c r="Q18" s="100"/>
      <c r="R18" s="100"/>
      <c r="S18" s="100"/>
      <c r="T18" s="100"/>
      <c r="U18" s="100"/>
      <c r="V18" s="100"/>
      <c r="W18" s="100"/>
      <c r="X18" s="100"/>
      <c r="Y18" s="100"/>
      <c r="Z18" s="100"/>
      <c r="AA18" s="100"/>
      <c r="AB18" s="100"/>
      <c r="AC18" s="100"/>
      <c r="AD18" s="100"/>
    </row>
    <row r="19" ht="15.75" customHeight="1">
      <c r="A19" s="78">
        <v>2012.0</v>
      </c>
      <c r="B19" s="79" t="s">
        <v>10</v>
      </c>
      <c r="C19" s="88" t="s">
        <v>42</v>
      </c>
      <c r="D19" s="92" t="s">
        <v>42</v>
      </c>
      <c r="E19" s="93">
        <v>0.0</v>
      </c>
      <c r="F19" s="92" t="s">
        <v>42</v>
      </c>
      <c r="G19" s="93">
        <v>3.0</v>
      </c>
      <c r="H19" s="83"/>
      <c r="I19" s="83">
        <f t="shared" si="1"/>
        <v>3</v>
      </c>
      <c r="J19" s="98"/>
      <c r="K19" s="85"/>
      <c r="L19" s="100"/>
      <c r="M19" s="100"/>
      <c r="N19" s="100"/>
      <c r="O19" s="100"/>
      <c r="P19" s="100"/>
      <c r="Q19" s="100"/>
      <c r="R19" s="100"/>
      <c r="S19" s="100"/>
      <c r="T19" s="100"/>
      <c r="U19" s="100"/>
      <c r="V19" s="100"/>
      <c r="W19" s="100"/>
      <c r="X19" s="100"/>
      <c r="Y19" s="100"/>
      <c r="Z19" s="100"/>
      <c r="AA19" s="100"/>
      <c r="AB19" s="100"/>
      <c r="AC19" s="100"/>
      <c r="AD19" s="100"/>
    </row>
    <row r="20" ht="15.75" customHeight="1">
      <c r="A20" s="86">
        <v>2011.0</v>
      </c>
      <c r="B20" s="87" t="s">
        <v>10</v>
      </c>
      <c r="C20" s="88" t="s">
        <v>42</v>
      </c>
      <c r="D20" s="92" t="s">
        <v>42</v>
      </c>
      <c r="E20" s="89">
        <v>0.0</v>
      </c>
      <c r="F20" s="92" t="s">
        <v>42</v>
      </c>
      <c r="G20" s="89">
        <v>0.0</v>
      </c>
      <c r="H20" s="90"/>
      <c r="I20" s="83">
        <f t="shared" si="1"/>
        <v>0</v>
      </c>
      <c r="J20" s="98"/>
      <c r="K20" s="85"/>
      <c r="L20" s="100"/>
      <c r="M20" s="100"/>
      <c r="N20" s="100"/>
      <c r="O20" s="100"/>
      <c r="P20" s="100"/>
      <c r="Q20" s="100"/>
      <c r="R20" s="100"/>
      <c r="S20" s="100"/>
      <c r="T20" s="100"/>
      <c r="U20" s="100"/>
      <c r="V20" s="100"/>
      <c r="W20" s="100"/>
      <c r="X20" s="100"/>
      <c r="Y20" s="100"/>
      <c r="Z20" s="100"/>
      <c r="AA20" s="100"/>
      <c r="AB20" s="100"/>
      <c r="AC20" s="100"/>
      <c r="AD20" s="100"/>
    </row>
    <row r="21" ht="15.75" customHeight="1">
      <c r="A21" s="78">
        <v>2010.0</v>
      </c>
      <c r="B21" s="101" t="s">
        <v>12</v>
      </c>
      <c r="C21" s="88" t="s">
        <v>42</v>
      </c>
      <c r="D21" s="92" t="s">
        <v>42</v>
      </c>
      <c r="E21" s="82">
        <v>1.0</v>
      </c>
      <c r="F21" s="92" t="s">
        <v>42</v>
      </c>
      <c r="G21" s="82">
        <v>0.0</v>
      </c>
      <c r="H21" s="83"/>
      <c r="I21" s="83">
        <f t="shared" si="1"/>
        <v>1</v>
      </c>
      <c r="J21" s="99">
        <v>11.0</v>
      </c>
      <c r="K21" s="94">
        <v>12.0</v>
      </c>
      <c r="L21" s="98"/>
      <c r="M21" s="98"/>
      <c r="N21" s="98"/>
      <c r="O21" s="98"/>
      <c r="P21" s="98"/>
      <c r="Q21" s="98"/>
      <c r="R21" s="98"/>
      <c r="S21" s="98"/>
      <c r="T21" s="98"/>
      <c r="U21" s="98"/>
      <c r="V21" s="98"/>
      <c r="W21" s="98"/>
      <c r="X21" s="98"/>
      <c r="Y21" s="98"/>
      <c r="Z21" s="98"/>
      <c r="AA21" s="98"/>
      <c r="AB21" s="98"/>
      <c r="AC21" s="98"/>
      <c r="AD21" s="98"/>
    </row>
    <row r="22" ht="15.75" customHeight="1">
      <c r="A22" s="86">
        <v>2009.0</v>
      </c>
      <c r="B22" s="102" t="s">
        <v>12</v>
      </c>
      <c r="C22" s="88" t="s">
        <v>42</v>
      </c>
      <c r="D22" s="92" t="s">
        <v>42</v>
      </c>
      <c r="E22" s="89">
        <v>1.0</v>
      </c>
      <c r="F22" s="92" t="s">
        <v>42</v>
      </c>
      <c r="G22" s="89">
        <v>1.0</v>
      </c>
      <c r="H22" s="90"/>
      <c r="I22" s="83">
        <f t="shared" si="1"/>
        <v>2</v>
      </c>
      <c r="J22" s="98"/>
      <c r="K22" s="85"/>
      <c r="L22" s="100"/>
      <c r="M22" s="100"/>
      <c r="N22" s="100"/>
      <c r="O22" s="100"/>
      <c r="P22" s="100"/>
      <c r="Q22" s="100"/>
      <c r="R22" s="100"/>
      <c r="S22" s="100"/>
      <c r="T22" s="100"/>
      <c r="U22" s="100"/>
      <c r="V22" s="100"/>
      <c r="W22" s="100"/>
      <c r="X22" s="100"/>
      <c r="Y22" s="100"/>
      <c r="Z22" s="100"/>
      <c r="AA22" s="100"/>
      <c r="AB22" s="100"/>
      <c r="AC22" s="100"/>
      <c r="AD22" s="100"/>
    </row>
    <row r="23" ht="15.75" customHeight="1">
      <c r="A23" s="78">
        <v>2008.0</v>
      </c>
      <c r="B23" s="101" t="s">
        <v>12</v>
      </c>
      <c r="C23" s="88">
        <v>450.0</v>
      </c>
      <c r="D23" s="81" t="s">
        <v>42</v>
      </c>
      <c r="E23" s="93">
        <v>2.0</v>
      </c>
      <c r="F23" s="81" t="s">
        <v>42</v>
      </c>
      <c r="G23" s="82">
        <v>0.0</v>
      </c>
      <c r="H23" s="83"/>
      <c r="I23" s="83">
        <f t="shared" si="1"/>
        <v>2</v>
      </c>
      <c r="J23" s="99">
        <v>10.0</v>
      </c>
      <c r="K23" s="85"/>
      <c r="L23" s="100"/>
      <c r="M23" s="100"/>
      <c r="N23" s="100"/>
      <c r="O23" s="100"/>
      <c r="P23" s="100"/>
      <c r="Q23" s="100"/>
      <c r="R23" s="100"/>
      <c r="S23" s="100"/>
      <c r="T23" s="100"/>
      <c r="U23" s="100"/>
      <c r="V23" s="100"/>
      <c r="W23" s="100"/>
      <c r="X23" s="100"/>
      <c r="Y23" s="100"/>
      <c r="Z23" s="100"/>
      <c r="AA23" s="100"/>
      <c r="AB23" s="100"/>
      <c r="AC23" s="100"/>
      <c r="AD23" s="100"/>
    </row>
    <row r="24" ht="15.75" customHeight="1">
      <c r="A24" s="86">
        <v>2007.0</v>
      </c>
      <c r="B24" s="103" t="s">
        <v>13</v>
      </c>
      <c r="C24" s="88" t="s">
        <v>42</v>
      </c>
      <c r="D24" s="104" t="s">
        <v>42</v>
      </c>
      <c r="E24" s="89">
        <v>0.0</v>
      </c>
      <c r="F24" s="104" t="s">
        <v>42</v>
      </c>
      <c r="G24" s="89">
        <v>1.0</v>
      </c>
      <c r="H24" s="90"/>
      <c r="I24" s="83">
        <f t="shared" si="1"/>
        <v>1</v>
      </c>
      <c r="J24" s="99">
        <v>9.0</v>
      </c>
      <c r="K24" s="85"/>
      <c r="L24" s="100"/>
      <c r="M24" s="100"/>
      <c r="N24" s="100"/>
      <c r="O24" s="100"/>
      <c r="P24" s="100"/>
      <c r="Q24" s="100"/>
      <c r="R24" s="100"/>
      <c r="S24" s="100"/>
      <c r="T24" s="100"/>
      <c r="U24" s="100"/>
      <c r="V24" s="100"/>
      <c r="W24" s="100"/>
      <c r="X24" s="100"/>
      <c r="Y24" s="100"/>
      <c r="Z24" s="100"/>
      <c r="AA24" s="100"/>
      <c r="AB24" s="100"/>
      <c r="AC24" s="100"/>
      <c r="AD24" s="100"/>
    </row>
    <row r="25" ht="15.75" customHeight="1">
      <c r="A25" s="78">
        <v>2006.0</v>
      </c>
      <c r="B25" s="101" t="s">
        <v>16</v>
      </c>
      <c r="C25" s="88" t="s">
        <v>42</v>
      </c>
      <c r="D25" s="105">
        <v>138.0</v>
      </c>
      <c r="E25" s="106">
        <v>0.0</v>
      </c>
      <c r="F25" s="105">
        <v>187.0</v>
      </c>
      <c r="G25" s="106">
        <v>0.0</v>
      </c>
      <c r="H25" s="106"/>
      <c r="I25" s="83">
        <f t="shared" si="1"/>
        <v>0</v>
      </c>
      <c r="J25" s="98"/>
      <c r="K25" s="85"/>
      <c r="L25" s="98"/>
      <c r="M25" s="98"/>
      <c r="N25" s="98"/>
      <c r="O25" s="98"/>
      <c r="P25" s="98"/>
      <c r="Q25" s="98"/>
      <c r="R25" s="98"/>
      <c r="S25" s="98"/>
      <c r="T25" s="98"/>
      <c r="U25" s="98"/>
      <c r="V25" s="98"/>
      <c r="W25" s="98"/>
      <c r="X25" s="98"/>
      <c r="Y25" s="98"/>
      <c r="Z25" s="98"/>
      <c r="AA25" s="98"/>
      <c r="AB25" s="98"/>
      <c r="AC25" s="98"/>
      <c r="AD25" s="98"/>
    </row>
    <row r="26" ht="15.75" customHeight="1">
      <c r="A26" s="86">
        <v>2005.0</v>
      </c>
      <c r="B26" s="102" t="s">
        <v>16</v>
      </c>
      <c r="C26" s="88" t="s">
        <v>42</v>
      </c>
      <c r="D26" s="100" t="s">
        <v>42</v>
      </c>
      <c r="E26" s="107">
        <v>1.0</v>
      </c>
      <c r="F26" s="100" t="s">
        <v>42</v>
      </c>
      <c r="G26" s="107">
        <v>0.0</v>
      </c>
      <c r="H26" s="108"/>
      <c r="I26" s="83">
        <f t="shared" si="1"/>
        <v>1</v>
      </c>
      <c r="J26" s="99">
        <v>8.0</v>
      </c>
      <c r="K26" s="85"/>
      <c r="L26" s="100"/>
      <c r="M26" s="100"/>
      <c r="N26" s="100"/>
      <c r="O26" s="100"/>
      <c r="P26" s="100"/>
      <c r="Q26" s="100"/>
      <c r="R26" s="100"/>
      <c r="S26" s="100"/>
      <c r="T26" s="100"/>
      <c r="U26" s="100"/>
      <c r="V26" s="100"/>
      <c r="W26" s="100"/>
      <c r="X26" s="100"/>
      <c r="Y26" s="100"/>
      <c r="Z26" s="100"/>
      <c r="AA26" s="100"/>
      <c r="AB26" s="100"/>
      <c r="AC26" s="100"/>
      <c r="AD26" s="100"/>
    </row>
    <row r="27" ht="15.75" customHeight="1">
      <c r="A27" s="78">
        <v>2004.0</v>
      </c>
      <c r="B27" s="101" t="s">
        <v>16</v>
      </c>
      <c r="C27" s="88" t="s">
        <v>42</v>
      </c>
      <c r="D27" s="109" t="s">
        <v>42</v>
      </c>
      <c r="E27" s="110">
        <v>0.0</v>
      </c>
      <c r="F27" s="109" t="s">
        <v>42</v>
      </c>
      <c r="G27" s="110">
        <v>0.0</v>
      </c>
      <c r="H27" s="110"/>
      <c r="I27" s="83">
        <f t="shared" si="1"/>
        <v>0</v>
      </c>
      <c r="J27" s="98"/>
      <c r="K27" s="85"/>
      <c r="L27" s="100"/>
      <c r="M27" s="100"/>
      <c r="N27" s="100"/>
      <c r="O27" s="100"/>
      <c r="P27" s="100"/>
      <c r="Q27" s="100"/>
      <c r="R27" s="100"/>
      <c r="S27" s="100"/>
      <c r="T27" s="100"/>
      <c r="U27" s="100"/>
      <c r="V27" s="100"/>
      <c r="W27" s="100"/>
      <c r="X27" s="100"/>
      <c r="Y27" s="100"/>
      <c r="Z27" s="100"/>
      <c r="AA27" s="100"/>
      <c r="AB27" s="100"/>
      <c r="AC27" s="100"/>
      <c r="AD27" s="100"/>
    </row>
    <row r="28" ht="15.75" customHeight="1">
      <c r="A28" s="86">
        <v>2003.0</v>
      </c>
      <c r="B28" s="102" t="s">
        <v>16</v>
      </c>
      <c r="C28" s="88" t="s">
        <v>42</v>
      </c>
      <c r="D28" s="100" t="s">
        <v>42</v>
      </c>
      <c r="E28" s="108">
        <v>0.0</v>
      </c>
      <c r="F28" s="100" t="s">
        <v>42</v>
      </c>
      <c r="G28" s="108">
        <v>3.0</v>
      </c>
      <c r="H28" s="108"/>
      <c r="I28" s="83">
        <f t="shared" si="1"/>
        <v>3</v>
      </c>
      <c r="J28" s="98"/>
      <c r="K28" s="85"/>
      <c r="L28" s="100"/>
      <c r="M28" s="100"/>
      <c r="N28" s="100"/>
      <c r="O28" s="100"/>
      <c r="P28" s="100"/>
      <c r="Q28" s="100"/>
      <c r="R28" s="100"/>
      <c r="S28" s="100"/>
      <c r="T28" s="100"/>
      <c r="U28" s="100"/>
      <c r="V28" s="100"/>
      <c r="W28" s="100"/>
      <c r="X28" s="100"/>
      <c r="Y28" s="100"/>
      <c r="Z28" s="100"/>
      <c r="AA28" s="100"/>
      <c r="AB28" s="100"/>
      <c r="AC28" s="100"/>
      <c r="AD28" s="100"/>
    </row>
    <row r="29" ht="15.75" customHeight="1">
      <c r="A29" s="78">
        <v>2002.0</v>
      </c>
      <c r="B29" s="111" t="s">
        <v>16</v>
      </c>
      <c r="C29" s="88" t="s">
        <v>42</v>
      </c>
      <c r="D29" s="109" t="s">
        <v>42</v>
      </c>
      <c r="E29" s="112">
        <v>4.0</v>
      </c>
      <c r="F29" s="109" t="s">
        <v>42</v>
      </c>
      <c r="G29" s="112">
        <v>0.0</v>
      </c>
      <c r="H29" s="112"/>
      <c r="I29" s="83">
        <f t="shared" si="1"/>
        <v>4</v>
      </c>
      <c r="J29" s="99">
        <v>7.0</v>
      </c>
      <c r="K29" s="94">
        <v>15.0</v>
      </c>
      <c r="L29" s="98"/>
      <c r="M29" s="98"/>
      <c r="N29" s="98"/>
      <c r="O29" s="98"/>
      <c r="P29" s="98"/>
      <c r="Q29" s="98"/>
      <c r="R29" s="98"/>
      <c r="S29" s="98"/>
      <c r="T29" s="98"/>
      <c r="U29" s="98"/>
      <c r="V29" s="98"/>
      <c r="W29" s="98"/>
      <c r="X29" s="98"/>
      <c r="Y29" s="98"/>
      <c r="Z29" s="98"/>
      <c r="AA29" s="98"/>
      <c r="AB29" s="98"/>
      <c r="AC29" s="98"/>
      <c r="AD29" s="98"/>
    </row>
    <row r="30" ht="15.75" customHeight="1">
      <c r="A30" s="86">
        <v>2001.0</v>
      </c>
      <c r="B30" s="113" t="s">
        <v>16</v>
      </c>
      <c r="C30" s="88" t="s">
        <v>42</v>
      </c>
      <c r="D30" s="100" t="s">
        <v>42</v>
      </c>
      <c r="E30" s="107">
        <v>2.0</v>
      </c>
      <c r="F30" s="100" t="s">
        <v>42</v>
      </c>
      <c r="G30" s="107">
        <v>0.0</v>
      </c>
      <c r="H30" s="108"/>
      <c r="I30" s="83">
        <f t="shared" si="1"/>
        <v>2</v>
      </c>
      <c r="J30" s="99">
        <v>16.0</v>
      </c>
      <c r="K30" s="85"/>
      <c r="L30" s="100"/>
      <c r="M30" s="100"/>
      <c r="N30" s="100"/>
      <c r="O30" s="100"/>
      <c r="P30" s="100"/>
      <c r="Q30" s="100"/>
      <c r="R30" s="100"/>
      <c r="S30" s="100"/>
      <c r="T30" s="100"/>
      <c r="U30" s="100"/>
      <c r="V30" s="100"/>
      <c r="W30" s="100"/>
      <c r="X30" s="100"/>
      <c r="Y30" s="100"/>
      <c r="Z30" s="100"/>
      <c r="AA30" s="100"/>
      <c r="AB30" s="100"/>
      <c r="AC30" s="100"/>
      <c r="AD30" s="100"/>
    </row>
    <row r="31" ht="15.75" customHeight="1">
      <c r="A31" s="78">
        <v>2000.0</v>
      </c>
      <c r="B31" s="111" t="s">
        <v>16</v>
      </c>
      <c r="C31" s="88" t="s">
        <v>42</v>
      </c>
      <c r="D31" s="109" t="s">
        <v>42</v>
      </c>
      <c r="E31" s="110">
        <v>0.0</v>
      </c>
      <c r="F31" s="109" t="s">
        <v>42</v>
      </c>
      <c r="G31" s="110">
        <v>5.0</v>
      </c>
      <c r="H31" s="110"/>
      <c r="I31" s="83">
        <f t="shared" si="1"/>
        <v>5</v>
      </c>
      <c r="J31" s="98"/>
      <c r="K31" s="85"/>
      <c r="L31" s="100"/>
      <c r="M31" s="100"/>
      <c r="N31" s="100"/>
      <c r="O31" s="100"/>
      <c r="P31" s="100"/>
      <c r="Q31" s="100"/>
      <c r="R31" s="100"/>
      <c r="S31" s="100"/>
      <c r="T31" s="100"/>
      <c r="U31" s="100"/>
      <c r="V31" s="100"/>
      <c r="W31" s="100"/>
      <c r="X31" s="100"/>
      <c r="Y31" s="100"/>
      <c r="Z31" s="100"/>
      <c r="AA31" s="100"/>
      <c r="AB31" s="100"/>
      <c r="AC31" s="100"/>
      <c r="AD31" s="100"/>
    </row>
    <row r="32" ht="15.75" customHeight="1">
      <c r="A32" s="86">
        <v>1999.0</v>
      </c>
      <c r="B32" s="113" t="s">
        <v>16</v>
      </c>
      <c r="C32" s="88" t="s">
        <v>42</v>
      </c>
      <c r="D32" s="100" t="s">
        <v>42</v>
      </c>
      <c r="E32" s="107">
        <v>4.0</v>
      </c>
      <c r="F32" s="100" t="s">
        <v>42</v>
      </c>
      <c r="G32" s="107">
        <v>0.0</v>
      </c>
      <c r="H32" s="107"/>
      <c r="I32" s="83">
        <f t="shared" si="1"/>
        <v>4</v>
      </c>
      <c r="J32" s="99">
        <v>6.0</v>
      </c>
      <c r="K32" s="85"/>
      <c r="L32" s="100"/>
      <c r="M32" s="100"/>
      <c r="N32" s="100"/>
      <c r="O32" s="100"/>
      <c r="P32" s="100"/>
      <c r="Q32" s="100"/>
      <c r="R32" s="100"/>
      <c r="S32" s="100"/>
      <c r="T32" s="100"/>
      <c r="U32" s="100"/>
      <c r="V32" s="100"/>
      <c r="W32" s="100"/>
      <c r="X32" s="100"/>
      <c r="Y32" s="100"/>
      <c r="Z32" s="100"/>
      <c r="AA32" s="100"/>
      <c r="AB32" s="100"/>
      <c r="AC32" s="100"/>
      <c r="AD32" s="100"/>
    </row>
    <row r="33" ht="15.75" customHeight="1">
      <c r="A33" s="78">
        <v>1998.0</v>
      </c>
      <c r="B33" s="111" t="s">
        <v>16</v>
      </c>
      <c r="C33" s="88" t="s">
        <v>42</v>
      </c>
      <c r="D33" s="109" t="s">
        <v>42</v>
      </c>
      <c r="E33" s="106">
        <v>0.0</v>
      </c>
      <c r="F33" s="109" t="s">
        <v>42</v>
      </c>
      <c r="G33" s="106">
        <v>0.0</v>
      </c>
      <c r="H33" s="106"/>
      <c r="I33" s="83">
        <f t="shared" si="1"/>
        <v>0</v>
      </c>
      <c r="J33" s="98"/>
      <c r="K33" s="85"/>
      <c r="L33" s="98"/>
      <c r="M33" s="98"/>
      <c r="N33" s="98"/>
      <c r="O33" s="98"/>
      <c r="P33" s="98"/>
      <c r="Q33" s="98"/>
      <c r="R33" s="98"/>
      <c r="S33" s="98"/>
      <c r="T33" s="98"/>
      <c r="U33" s="98"/>
      <c r="V33" s="98"/>
      <c r="W33" s="98"/>
      <c r="X33" s="98"/>
      <c r="Y33" s="98"/>
      <c r="Z33" s="98"/>
      <c r="AA33" s="98"/>
      <c r="AB33" s="98"/>
      <c r="AC33" s="98"/>
      <c r="AD33" s="98"/>
    </row>
    <row r="34" ht="15.75" customHeight="1">
      <c r="A34" s="86">
        <v>1997.0</v>
      </c>
      <c r="B34" s="113" t="s">
        <v>16</v>
      </c>
      <c r="C34" s="88" t="s">
        <v>42</v>
      </c>
      <c r="D34" s="100" t="s">
        <v>42</v>
      </c>
      <c r="E34" s="107">
        <v>3.0</v>
      </c>
      <c r="F34" s="100" t="s">
        <v>42</v>
      </c>
      <c r="G34" s="108">
        <v>0.0</v>
      </c>
      <c r="H34" s="108"/>
      <c r="I34" s="83">
        <f t="shared" si="1"/>
        <v>3</v>
      </c>
      <c r="J34" s="99">
        <v>5.0</v>
      </c>
      <c r="K34" s="85"/>
      <c r="L34" s="100"/>
      <c r="M34" s="100"/>
      <c r="N34" s="100"/>
      <c r="O34" s="100"/>
      <c r="P34" s="100"/>
      <c r="Q34" s="100"/>
      <c r="R34" s="100"/>
      <c r="S34" s="100"/>
      <c r="T34" s="100"/>
      <c r="U34" s="100"/>
      <c r="V34" s="100"/>
      <c r="W34" s="100"/>
      <c r="X34" s="100"/>
      <c r="Y34" s="100"/>
      <c r="Z34" s="100"/>
      <c r="AA34" s="100"/>
      <c r="AB34" s="100"/>
      <c r="AC34" s="100"/>
      <c r="AD34" s="100"/>
    </row>
    <row r="35" ht="15.75" customHeight="1">
      <c r="A35" s="78">
        <v>1996.0</v>
      </c>
      <c r="B35" s="114" t="s">
        <v>16</v>
      </c>
      <c r="C35" s="88" t="s">
        <v>42</v>
      </c>
      <c r="D35" s="109" t="s">
        <v>42</v>
      </c>
      <c r="E35" s="110">
        <v>0.0</v>
      </c>
      <c r="F35" s="109" t="s">
        <v>42</v>
      </c>
      <c r="G35" s="110">
        <v>7.0</v>
      </c>
      <c r="H35" s="110"/>
      <c r="I35" s="83">
        <f t="shared" si="1"/>
        <v>7</v>
      </c>
      <c r="J35" s="98"/>
      <c r="K35" s="85"/>
      <c r="L35" s="100"/>
      <c r="M35" s="100"/>
      <c r="N35" s="100"/>
      <c r="O35" s="100"/>
      <c r="P35" s="100"/>
      <c r="Q35" s="100"/>
      <c r="R35" s="100"/>
      <c r="S35" s="100"/>
      <c r="T35" s="100"/>
      <c r="U35" s="100"/>
      <c r="V35" s="100"/>
      <c r="W35" s="100"/>
      <c r="X35" s="100"/>
      <c r="Y35" s="100"/>
      <c r="Z35" s="100"/>
      <c r="AA35" s="100"/>
      <c r="AB35" s="100"/>
      <c r="AC35" s="100"/>
      <c r="AD35" s="100"/>
    </row>
    <row r="36" ht="15.75" customHeight="1">
      <c r="A36" s="86">
        <v>1995.0</v>
      </c>
      <c r="B36" s="102" t="s">
        <v>16</v>
      </c>
      <c r="C36" s="88" t="s">
        <v>42</v>
      </c>
      <c r="D36" s="100" t="s">
        <v>42</v>
      </c>
      <c r="E36" s="108">
        <v>0.0</v>
      </c>
      <c r="F36" s="100" t="s">
        <v>42</v>
      </c>
      <c r="G36" s="108">
        <v>2.0</v>
      </c>
      <c r="H36" s="108"/>
      <c r="I36" s="83">
        <f t="shared" si="1"/>
        <v>2</v>
      </c>
      <c r="J36" s="98"/>
      <c r="K36" s="85"/>
      <c r="L36" s="100"/>
      <c r="M36" s="100"/>
      <c r="N36" s="100"/>
      <c r="O36" s="100"/>
      <c r="P36" s="100"/>
      <c r="Q36" s="100"/>
      <c r="R36" s="100"/>
      <c r="S36" s="100"/>
      <c r="T36" s="100"/>
      <c r="U36" s="100"/>
      <c r="V36" s="100"/>
      <c r="W36" s="100"/>
      <c r="X36" s="100"/>
      <c r="Y36" s="100"/>
      <c r="Z36" s="100"/>
      <c r="AA36" s="100"/>
      <c r="AB36" s="100"/>
      <c r="AC36" s="100"/>
      <c r="AD36" s="100"/>
    </row>
    <row r="37" ht="15.75" customHeight="1">
      <c r="A37" s="78">
        <v>1994.0</v>
      </c>
      <c r="B37" s="101" t="s">
        <v>18</v>
      </c>
      <c r="C37" s="88" t="s">
        <v>42</v>
      </c>
      <c r="D37" s="105" t="s">
        <v>42</v>
      </c>
      <c r="E37" s="106" t="s">
        <v>42</v>
      </c>
      <c r="F37" s="105" t="s">
        <v>42</v>
      </c>
      <c r="G37" s="106" t="s">
        <v>42</v>
      </c>
      <c r="H37" s="106"/>
      <c r="I37" s="83">
        <f t="shared" si="1"/>
        <v>0</v>
      </c>
      <c r="J37" s="98"/>
      <c r="K37" s="98"/>
      <c r="L37" s="98"/>
      <c r="M37" s="98"/>
      <c r="N37" s="98"/>
      <c r="O37" s="98"/>
      <c r="P37" s="98"/>
      <c r="Q37" s="98"/>
      <c r="R37" s="98"/>
      <c r="S37" s="98"/>
      <c r="T37" s="98"/>
      <c r="U37" s="98"/>
      <c r="V37" s="98"/>
      <c r="W37" s="98"/>
      <c r="X37" s="98"/>
      <c r="Y37" s="98"/>
      <c r="Z37" s="98"/>
      <c r="AA37" s="98"/>
      <c r="AB37" s="98"/>
      <c r="AC37" s="98"/>
      <c r="AD37" s="98"/>
    </row>
    <row r="38" ht="15.75" customHeight="1">
      <c r="A38" s="86">
        <v>1993.0</v>
      </c>
      <c r="B38" s="103" t="s">
        <v>18</v>
      </c>
      <c r="C38" s="88" t="s">
        <v>42</v>
      </c>
      <c r="D38" s="100" t="s">
        <v>42</v>
      </c>
      <c r="E38" s="108" t="s">
        <v>42</v>
      </c>
      <c r="F38" s="100" t="s">
        <v>42</v>
      </c>
      <c r="G38" s="108" t="s">
        <v>42</v>
      </c>
      <c r="H38" s="108"/>
      <c r="I38" s="83">
        <f t="shared" si="1"/>
        <v>0</v>
      </c>
      <c r="J38" s="98"/>
      <c r="K38" s="100"/>
      <c r="L38" s="100"/>
      <c r="M38" s="100"/>
      <c r="N38" s="100"/>
      <c r="O38" s="100"/>
      <c r="P38" s="100"/>
      <c r="Q38" s="100"/>
      <c r="R38" s="100"/>
      <c r="S38" s="100"/>
      <c r="T38" s="100"/>
      <c r="U38" s="100"/>
      <c r="V38" s="100"/>
      <c r="W38" s="100"/>
      <c r="X38" s="100"/>
      <c r="Y38" s="100"/>
      <c r="Z38" s="100"/>
      <c r="AA38" s="100"/>
      <c r="AB38" s="100"/>
      <c r="AC38" s="100"/>
      <c r="AD38" s="100"/>
    </row>
    <row r="39" ht="15.75" customHeight="1">
      <c r="A39" s="78">
        <v>1992.0</v>
      </c>
      <c r="B39" s="101" t="s">
        <v>18</v>
      </c>
      <c r="C39" s="88" t="s">
        <v>42</v>
      </c>
      <c r="D39" s="105" t="s">
        <v>42</v>
      </c>
      <c r="E39" s="106" t="s">
        <v>42</v>
      </c>
      <c r="F39" s="105" t="s">
        <v>42</v>
      </c>
      <c r="G39" s="106" t="s">
        <v>42</v>
      </c>
      <c r="H39" s="106"/>
      <c r="I39" s="83">
        <f t="shared" si="1"/>
        <v>0</v>
      </c>
      <c r="J39" s="98"/>
      <c r="K39" s="100"/>
      <c r="L39" s="100"/>
      <c r="M39" s="100"/>
      <c r="N39" s="100"/>
      <c r="O39" s="100"/>
      <c r="P39" s="100"/>
      <c r="Q39" s="100"/>
      <c r="R39" s="100"/>
      <c r="S39" s="100"/>
      <c r="T39" s="100"/>
      <c r="U39" s="100"/>
      <c r="V39" s="100"/>
      <c r="W39" s="100"/>
      <c r="X39" s="100"/>
      <c r="Y39" s="100"/>
      <c r="Z39" s="100"/>
      <c r="AA39" s="100"/>
      <c r="AB39" s="100"/>
      <c r="AC39" s="100"/>
      <c r="AD39" s="100"/>
    </row>
    <row r="40" ht="15.75" customHeight="1">
      <c r="A40" s="86">
        <v>1991.0</v>
      </c>
      <c r="B40" s="103" t="s">
        <v>18</v>
      </c>
      <c r="C40" s="88" t="s">
        <v>42</v>
      </c>
      <c r="D40" s="100" t="s">
        <v>42</v>
      </c>
      <c r="E40" s="108" t="s">
        <v>42</v>
      </c>
      <c r="F40" s="100" t="s">
        <v>42</v>
      </c>
      <c r="G40" s="108" t="s">
        <v>42</v>
      </c>
      <c r="H40" s="108"/>
      <c r="I40" s="83">
        <f t="shared" si="1"/>
        <v>0</v>
      </c>
      <c r="J40" s="98"/>
      <c r="K40" s="100"/>
      <c r="L40" s="100"/>
      <c r="M40" s="100"/>
      <c r="N40" s="100"/>
      <c r="O40" s="100"/>
      <c r="P40" s="100"/>
      <c r="Q40" s="100"/>
      <c r="R40" s="100"/>
      <c r="S40" s="100"/>
      <c r="T40" s="100"/>
      <c r="U40" s="100"/>
      <c r="V40" s="100"/>
      <c r="W40" s="100"/>
      <c r="X40" s="100"/>
      <c r="Y40" s="100"/>
      <c r="Z40" s="100"/>
      <c r="AA40" s="100"/>
      <c r="AB40" s="100"/>
      <c r="AC40" s="100"/>
      <c r="AD40" s="100"/>
    </row>
    <row r="41" ht="15.75" customHeight="1">
      <c r="A41" s="78">
        <v>1990.0</v>
      </c>
      <c r="B41" s="101" t="s">
        <v>18</v>
      </c>
      <c r="C41" s="88" t="s">
        <v>42</v>
      </c>
      <c r="D41" s="105" t="s">
        <v>42</v>
      </c>
      <c r="E41" s="106" t="s">
        <v>42</v>
      </c>
      <c r="F41" s="105" t="s">
        <v>42</v>
      </c>
      <c r="G41" s="106" t="s">
        <v>42</v>
      </c>
      <c r="H41" s="106"/>
      <c r="I41" s="83">
        <f t="shared" si="1"/>
        <v>0</v>
      </c>
      <c r="J41" s="98"/>
      <c r="K41" s="98"/>
      <c r="L41" s="98"/>
      <c r="M41" s="98"/>
      <c r="N41" s="98"/>
      <c r="O41" s="98"/>
      <c r="P41" s="98"/>
      <c r="Q41" s="98"/>
      <c r="R41" s="98"/>
      <c r="S41" s="98"/>
      <c r="T41" s="98"/>
      <c r="U41" s="98"/>
      <c r="V41" s="98"/>
      <c r="W41" s="98"/>
      <c r="X41" s="98"/>
      <c r="Y41" s="98"/>
      <c r="Z41" s="98"/>
      <c r="AA41" s="98"/>
      <c r="AB41" s="98"/>
      <c r="AC41" s="98"/>
      <c r="AD41" s="98"/>
    </row>
    <row r="42" ht="15.75" customHeight="1">
      <c r="A42" s="86">
        <v>1989.0</v>
      </c>
      <c r="B42" s="103" t="s">
        <v>18</v>
      </c>
      <c r="C42" s="88" t="s">
        <v>42</v>
      </c>
      <c r="D42" s="100" t="s">
        <v>42</v>
      </c>
      <c r="E42" s="108" t="s">
        <v>42</v>
      </c>
      <c r="F42" s="100" t="s">
        <v>42</v>
      </c>
      <c r="G42" s="108" t="s">
        <v>42</v>
      </c>
      <c r="H42" s="108"/>
      <c r="I42" s="83">
        <f t="shared" si="1"/>
        <v>0</v>
      </c>
      <c r="J42" s="98"/>
      <c r="K42" s="100"/>
      <c r="L42" s="100"/>
      <c r="M42" s="100"/>
      <c r="N42" s="100"/>
      <c r="O42" s="100"/>
      <c r="P42" s="100"/>
      <c r="Q42" s="100"/>
      <c r="R42" s="100"/>
      <c r="S42" s="100"/>
      <c r="T42" s="100"/>
      <c r="U42" s="100"/>
      <c r="V42" s="100"/>
      <c r="W42" s="100"/>
      <c r="X42" s="100"/>
      <c r="Y42" s="100"/>
      <c r="Z42" s="100"/>
      <c r="AA42" s="100"/>
      <c r="AB42" s="100"/>
      <c r="AC42" s="100"/>
      <c r="AD42" s="100"/>
    </row>
    <row r="43" ht="15.75" customHeight="1">
      <c r="A43" s="78">
        <v>1988.0</v>
      </c>
      <c r="B43" s="101" t="s">
        <v>18</v>
      </c>
      <c r="C43" s="88" t="s">
        <v>42</v>
      </c>
      <c r="D43" s="105" t="s">
        <v>42</v>
      </c>
      <c r="E43" s="106" t="s">
        <v>42</v>
      </c>
      <c r="F43" s="105" t="s">
        <v>42</v>
      </c>
      <c r="G43" s="106" t="s">
        <v>42</v>
      </c>
      <c r="H43" s="106"/>
      <c r="I43" s="83">
        <f t="shared" si="1"/>
        <v>0</v>
      </c>
      <c r="J43" s="98"/>
      <c r="K43" s="100"/>
      <c r="L43" s="100"/>
      <c r="M43" s="100"/>
      <c r="N43" s="100"/>
      <c r="O43" s="100"/>
      <c r="P43" s="100"/>
      <c r="Q43" s="100"/>
      <c r="R43" s="100"/>
      <c r="S43" s="100"/>
      <c r="T43" s="100"/>
      <c r="U43" s="100"/>
      <c r="V43" s="100"/>
      <c r="W43" s="100"/>
      <c r="X43" s="100"/>
      <c r="Y43" s="100"/>
      <c r="Z43" s="100"/>
      <c r="AA43" s="100"/>
      <c r="AB43" s="100"/>
      <c r="AC43" s="100"/>
      <c r="AD43" s="100"/>
    </row>
    <row r="44" ht="15.75" customHeight="1">
      <c r="A44" s="86">
        <v>1987.0</v>
      </c>
      <c r="B44" s="103" t="s">
        <v>18</v>
      </c>
      <c r="C44" s="88" t="s">
        <v>42</v>
      </c>
      <c r="D44" s="100" t="s">
        <v>42</v>
      </c>
      <c r="E44" s="108" t="s">
        <v>42</v>
      </c>
      <c r="F44" s="100" t="s">
        <v>42</v>
      </c>
      <c r="G44" s="108" t="s">
        <v>42</v>
      </c>
      <c r="H44" s="108"/>
      <c r="I44" s="83">
        <f t="shared" si="1"/>
        <v>0</v>
      </c>
      <c r="J44" s="98"/>
      <c r="K44" s="100"/>
      <c r="L44" s="100"/>
      <c r="M44" s="100"/>
      <c r="N44" s="100"/>
      <c r="O44" s="100"/>
      <c r="P44" s="100"/>
      <c r="Q44" s="100"/>
      <c r="R44" s="100"/>
      <c r="S44" s="100"/>
      <c r="T44" s="100"/>
      <c r="U44" s="100"/>
      <c r="V44" s="100"/>
      <c r="W44" s="100"/>
      <c r="X44" s="100"/>
      <c r="Y44" s="100"/>
      <c r="Z44" s="100"/>
      <c r="AA44" s="100"/>
      <c r="AB44" s="100"/>
      <c r="AC44" s="100"/>
      <c r="AD44" s="100"/>
    </row>
    <row r="45" ht="15.75" customHeight="1">
      <c r="A45" s="78">
        <v>1986.0</v>
      </c>
      <c r="B45" s="101" t="s">
        <v>18</v>
      </c>
      <c r="C45" s="88" t="s">
        <v>42</v>
      </c>
      <c r="D45" s="105" t="s">
        <v>42</v>
      </c>
      <c r="E45" s="106" t="s">
        <v>42</v>
      </c>
      <c r="F45" s="105" t="s">
        <v>42</v>
      </c>
      <c r="G45" s="106" t="s">
        <v>42</v>
      </c>
      <c r="H45" s="106"/>
      <c r="I45" s="83">
        <f t="shared" si="1"/>
        <v>0</v>
      </c>
      <c r="J45" s="98"/>
      <c r="K45" s="98"/>
      <c r="L45" s="98"/>
      <c r="M45" s="98"/>
      <c r="N45" s="98"/>
      <c r="O45" s="98"/>
      <c r="P45" s="98"/>
      <c r="Q45" s="98"/>
      <c r="R45" s="98"/>
      <c r="S45" s="98"/>
      <c r="T45" s="98"/>
      <c r="U45" s="98"/>
      <c r="V45" s="98"/>
      <c r="W45" s="98"/>
      <c r="X45" s="98"/>
      <c r="Y45" s="98"/>
      <c r="Z45" s="98"/>
      <c r="AA45" s="98"/>
      <c r="AB45" s="98"/>
      <c r="AC45" s="98"/>
      <c r="AD45" s="98"/>
    </row>
    <row r="46" ht="15.75" customHeight="1">
      <c r="A46" s="86">
        <v>1985.0</v>
      </c>
      <c r="B46" s="103" t="s">
        <v>18</v>
      </c>
      <c r="C46" s="88" t="s">
        <v>42</v>
      </c>
      <c r="D46" s="100" t="s">
        <v>42</v>
      </c>
      <c r="E46" s="108" t="s">
        <v>42</v>
      </c>
      <c r="F46" s="100" t="s">
        <v>42</v>
      </c>
      <c r="G46" s="108" t="s">
        <v>42</v>
      </c>
      <c r="H46" s="108"/>
      <c r="I46" s="83">
        <f t="shared" si="1"/>
        <v>0</v>
      </c>
      <c r="J46" s="98"/>
      <c r="K46" s="100"/>
      <c r="L46" s="100"/>
      <c r="M46" s="100"/>
      <c r="N46" s="100"/>
      <c r="O46" s="100"/>
      <c r="P46" s="100"/>
      <c r="Q46" s="100"/>
      <c r="R46" s="100"/>
      <c r="S46" s="100"/>
      <c r="T46" s="100"/>
      <c r="U46" s="100"/>
      <c r="V46" s="100"/>
      <c r="W46" s="100"/>
      <c r="X46" s="100"/>
      <c r="Y46" s="100"/>
      <c r="Z46" s="100"/>
      <c r="AA46" s="100"/>
      <c r="AB46" s="100"/>
      <c r="AC46" s="100"/>
      <c r="AD46" s="100"/>
    </row>
    <row r="47" ht="15.75" customHeight="1">
      <c r="A47" s="78">
        <v>1984.0</v>
      </c>
      <c r="B47" s="115" t="s">
        <v>20</v>
      </c>
      <c r="C47" s="88" t="s">
        <v>42</v>
      </c>
      <c r="D47" s="105" t="s">
        <v>42</v>
      </c>
      <c r="E47" s="106" t="s">
        <v>42</v>
      </c>
      <c r="F47" s="105" t="s">
        <v>42</v>
      </c>
      <c r="G47" s="106" t="s">
        <v>42</v>
      </c>
      <c r="H47" s="106"/>
      <c r="I47" s="83">
        <f t="shared" si="1"/>
        <v>0</v>
      </c>
      <c r="J47" s="98"/>
      <c r="K47" s="100"/>
      <c r="L47" s="100"/>
      <c r="M47" s="100"/>
      <c r="N47" s="100"/>
      <c r="O47" s="100"/>
      <c r="P47" s="100"/>
      <c r="Q47" s="100"/>
      <c r="R47" s="100"/>
      <c r="S47" s="100"/>
      <c r="T47" s="100"/>
      <c r="U47" s="100"/>
      <c r="V47" s="100"/>
      <c r="W47" s="100"/>
      <c r="X47" s="100"/>
      <c r="Y47" s="100"/>
      <c r="Z47" s="100"/>
      <c r="AA47" s="100"/>
      <c r="AB47" s="100"/>
      <c r="AC47" s="100"/>
      <c r="AD47" s="100"/>
    </row>
    <row r="48" ht="15.75" customHeight="1">
      <c r="A48" s="86">
        <v>1983.0</v>
      </c>
      <c r="B48" s="103" t="s">
        <v>20</v>
      </c>
      <c r="C48" s="88" t="s">
        <v>42</v>
      </c>
      <c r="D48" s="100" t="s">
        <v>42</v>
      </c>
      <c r="E48" s="108" t="s">
        <v>42</v>
      </c>
      <c r="F48" s="100" t="s">
        <v>42</v>
      </c>
      <c r="G48" s="108" t="s">
        <v>42</v>
      </c>
      <c r="H48" s="108"/>
      <c r="I48" s="83">
        <f t="shared" si="1"/>
        <v>0</v>
      </c>
      <c r="J48" s="98"/>
      <c r="K48" s="100"/>
      <c r="L48" s="100"/>
      <c r="M48" s="100"/>
      <c r="N48" s="100"/>
      <c r="O48" s="100"/>
      <c r="P48" s="100"/>
      <c r="Q48" s="100"/>
      <c r="R48" s="100"/>
      <c r="S48" s="100"/>
      <c r="T48" s="100"/>
      <c r="U48" s="100"/>
      <c r="V48" s="100"/>
      <c r="W48" s="100"/>
      <c r="X48" s="100"/>
      <c r="Y48" s="100"/>
      <c r="Z48" s="100"/>
      <c r="AA48" s="100"/>
      <c r="AB48" s="100"/>
      <c r="AC48" s="100"/>
      <c r="AD48" s="100"/>
    </row>
    <row r="49" ht="15.75" customHeight="1">
      <c r="A49" s="78">
        <v>1982.0</v>
      </c>
      <c r="B49" s="115" t="s">
        <v>20</v>
      </c>
      <c r="C49" s="88" t="s">
        <v>42</v>
      </c>
      <c r="D49" s="105" t="s">
        <v>42</v>
      </c>
      <c r="E49" s="106">
        <v>1.0</v>
      </c>
      <c r="F49" s="105" t="s">
        <v>42</v>
      </c>
      <c r="G49" s="106" t="s">
        <v>42</v>
      </c>
      <c r="H49" s="106"/>
      <c r="I49" s="83">
        <f t="shared" si="1"/>
        <v>1</v>
      </c>
      <c r="J49" s="99">
        <v>4.0</v>
      </c>
      <c r="K49" s="100"/>
      <c r="L49" s="100"/>
      <c r="M49" s="100"/>
      <c r="N49" s="100"/>
      <c r="O49" s="100"/>
      <c r="P49" s="100"/>
      <c r="Q49" s="100"/>
      <c r="R49" s="100"/>
      <c r="S49" s="100"/>
      <c r="T49" s="100"/>
      <c r="U49" s="100"/>
      <c r="V49" s="100"/>
      <c r="W49" s="100"/>
      <c r="X49" s="100"/>
      <c r="Y49" s="100"/>
      <c r="Z49" s="100"/>
      <c r="AA49" s="100"/>
      <c r="AB49" s="100"/>
      <c r="AC49" s="100"/>
      <c r="AD49" s="100"/>
    </row>
    <row r="50" ht="15.75" customHeight="1">
      <c r="A50" s="86">
        <v>1981.0</v>
      </c>
      <c r="B50" s="103" t="s">
        <v>20</v>
      </c>
      <c r="C50" s="88" t="s">
        <v>42</v>
      </c>
      <c r="D50" s="100" t="s">
        <v>42</v>
      </c>
      <c r="E50" s="107">
        <v>11.0</v>
      </c>
      <c r="F50" s="100" t="s">
        <v>42</v>
      </c>
      <c r="G50" s="107" t="s">
        <v>42</v>
      </c>
      <c r="H50" s="107"/>
      <c r="I50" s="83">
        <f t="shared" si="1"/>
        <v>11</v>
      </c>
      <c r="J50" s="94">
        <v>3.0</v>
      </c>
      <c r="K50" s="86"/>
      <c r="L50" s="86"/>
      <c r="M50" s="86"/>
      <c r="N50" s="86"/>
      <c r="O50" s="86"/>
      <c r="P50" s="86"/>
      <c r="Q50" s="86"/>
      <c r="R50" s="86"/>
      <c r="S50" s="86"/>
      <c r="T50" s="86"/>
      <c r="U50" s="86"/>
      <c r="V50" s="86"/>
      <c r="W50" s="86"/>
      <c r="X50" s="86"/>
      <c r="Y50" s="86"/>
      <c r="Z50" s="86"/>
      <c r="AA50" s="86"/>
      <c r="AB50" s="86"/>
      <c r="AC50" s="86"/>
      <c r="AD50" s="86"/>
    </row>
    <row r="51" ht="15.75" customHeight="1">
      <c r="A51" s="78">
        <v>1980.0</v>
      </c>
      <c r="B51" s="115" t="s">
        <v>20</v>
      </c>
      <c r="C51" s="88" t="s">
        <v>42</v>
      </c>
      <c r="D51" s="105" t="s">
        <v>42</v>
      </c>
      <c r="E51" s="106" t="s">
        <v>42</v>
      </c>
      <c r="F51" s="105" t="s">
        <v>42</v>
      </c>
      <c r="G51" s="106" t="s">
        <v>42</v>
      </c>
      <c r="H51" s="106"/>
      <c r="I51" s="83">
        <f t="shared" si="1"/>
        <v>0</v>
      </c>
      <c r="J51" s="85"/>
      <c r="K51" s="86"/>
      <c r="L51" s="86"/>
      <c r="M51" s="86"/>
      <c r="N51" s="86"/>
      <c r="O51" s="86"/>
      <c r="P51" s="86"/>
      <c r="Q51" s="86"/>
      <c r="R51" s="86"/>
      <c r="S51" s="86"/>
      <c r="T51" s="86"/>
      <c r="U51" s="86"/>
      <c r="V51" s="86"/>
      <c r="W51" s="86"/>
      <c r="X51" s="86"/>
      <c r="Y51" s="86"/>
      <c r="Z51" s="86"/>
      <c r="AA51" s="86"/>
      <c r="AB51" s="86"/>
      <c r="AC51" s="86"/>
      <c r="AD51" s="86"/>
    </row>
    <row r="52" ht="15.75" customHeight="1">
      <c r="A52" s="86">
        <v>1979.0</v>
      </c>
      <c r="B52" s="103" t="s">
        <v>20</v>
      </c>
      <c r="C52" s="88" t="s">
        <v>42</v>
      </c>
      <c r="D52" s="100" t="s">
        <v>42</v>
      </c>
      <c r="E52" s="108" t="s">
        <v>42</v>
      </c>
      <c r="F52" s="100" t="s">
        <v>42</v>
      </c>
      <c r="G52" s="108" t="s">
        <v>42</v>
      </c>
      <c r="H52" s="108"/>
      <c r="I52" s="83">
        <f t="shared" si="1"/>
        <v>0</v>
      </c>
      <c r="J52" s="85"/>
      <c r="K52" s="86"/>
      <c r="L52" s="86"/>
      <c r="M52" s="86"/>
      <c r="N52" s="86"/>
      <c r="O52" s="86"/>
      <c r="P52" s="86"/>
      <c r="Q52" s="86"/>
      <c r="R52" s="86"/>
      <c r="S52" s="86"/>
      <c r="T52" s="86"/>
      <c r="U52" s="86"/>
      <c r="V52" s="86"/>
      <c r="W52" s="86"/>
      <c r="X52" s="86"/>
      <c r="Y52" s="86"/>
      <c r="Z52" s="86"/>
      <c r="AA52" s="86"/>
      <c r="AB52" s="86"/>
      <c r="AC52" s="86"/>
      <c r="AD52" s="86"/>
    </row>
    <row r="53" ht="15.75" customHeight="1">
      <c r="A53" s="78">
        <v>1978.0</v>
      </c>
      <c r="B53" s="115" t="s">
        <v>20</v>
      </c>
      <c r="C53" s="88" t="s">
        <v>42</v>
      </c>
      <c r="D53" s="105" t="s">
        <v>42</v>
      </c>
      <c r="E53" s="106" t="s">
        <v>42</v>
      </c>
      <c r="F53" s="105" t="s">
        <v>42</v>
      </c>
      <c r="G53" s="106" t="s">
        <v>42</v>
      </c>
      <c r="H53" s="106"/>
      <c r="I53" s="83">
        <f t="shared" si="1"/>
        <v>0</v>
      </c>
      <c r="J53" s="85"/>
      <c r="K53" s="86"/>
      <c r="L53" s="86"/>
      <c r="M53" s="86"/>
      <c r="N53" s="86"/>
      <c r="O53" s="86"/>
      <c r="P53" s="86"/>
      <c r="Q53" s="86"/>
      <c r="R53" s="86"/>
      <c r="S53" s="86"/>
      <c r="T53" s="86"/>
      <c r="U53" s="86"/>
      <c r="V53" s="86"/>
      <c r="W53" s="86"/>
      <c r="X53" s="86"/>
      <c r="Y53" s="86"/>
      <c r="Z53" s="86"/>
      <c r="AA53" s="86"/>
      <c r="AB53" s="86"/>
      <c r="AC53" s="86"/>
      <c r="AD53" s="86"/>
    </row>
    <row r="54" ht="15.75" customHeight="1">
      <c r="A54" s="86">
        <v>1977.0</v>
      </c>
      <c r="B54" s="103" t="s">
        <v>20</v>
      </c>
      <c r="C54" s="88" t="s">
        <v>42</v>
      </c>
      <c r="D54" s="100" t="s">
        <v>42</v>
      </c>
      <c r="E54" s="108" t="s">
        <v>42</v>
      </c>
      <c r="F54" s="100" t="s">
        <v>42</v>
      </c>
      <c r="G54" s="108" t="s">
        <v>42</v>
      </c>
      <c r="H54" s="108"/>
      <c r="I54" s="83">
        <f t="shared" si="1"/>
        <v>0</v>
      </c>
      <c r="J54" s="85"/>
      <c r="K54" s="86"/>
      <c r="L54" s="86"/>
      <c r="M54" s="86"/>
      <c r="N54" s="86"/>
      <c r="O54" s="86"/>
      <c r="P54" s="86"/>
      <c r="Q54" s="86"/>
      <c r="R54" s="86"/>
      <c r="S54" s="86"/>
      <c r="T54" s="86"/>
      <c r="U54" s="86"/>
      <c r="V54" s="86"/>
      <c r="W54" s="86"/>
      <c r="X54" s="86"/>
      <c r="Y54" s="86"/>
      <c r="Z54" s="86"/>
      <c r="AA54" s="86"/>
      <c r="AB54" s="86"/>
      <c r="AC54" s="86"/>
      <c r="AD54" s="86"/>
    </row>
    <row r="55" ht="15.75" customHeight="1">
      <c r="A55" s="78">
        <v>1976.0</v>
      </c>
      <c r="B55" s="115" t="s">
        <v>20</v>
      </c>
      <c r="C55" s="88" t="s">
        <v>42</v>
      </c>
      <c r="D55" s="105" t="s">
        <v>42</v>
      </c>
      <c r="E55" s="106" t="s">
        <v>42</v>
      </c>
      <c r="F55" s="105" t="s">
        <v>42</v>
      </c>
      <c r="G55" s="106" t="s">
        <v>42</v>
      </c>
      <c r="H55" s="106"/>
      <c r="I55" s="83">
        <f t="shared" si="1"/>
        <v>0</v>
      </c>
      <c r="J55" s="85"/>
      <c r="K55" s="86"/>
      <c r="L55" s="86"/>
      <c r="M55" s="86"/>
      <c r="N55" s="86"/>
      <c r="O55" s="86"/>
      <c r="P55" s="86"/>
      <c r="Q55" s="86"/>
      <c r="R55" s="86"/>
      <c r="S55" s="86"/>
      <c r="T55" s="86"/>
      <c r="U55" s="86"/>
      <c r="V55" s="86"/>
      <c r="W55" s="86"/>
      <c r="X55" s="86"/>
      <c r="Y55" s="86"/>
      <c r="Z55" s="86"/>
      <c r="AA55" s="86"/>
      <c r="AB55" s="86"/>
      <c r="AC55" s="86"/>
      <c r="AD55" s="86"/>
    </row>
    <row r="56" ht="15.75" customHeight="1">
      <c r="A56" s="86">
        <v>1975.0</v>
      </c>
      <c r="B56" s="103" t="s">
        <v>20</v>
      </c>
      <c r="C56" s="88" t="s">
        <v>42</v>
      </c>
      <c r="D56" s="100" t="s">
        <v>42</v>
      </c>
      <c r="E56" s="107">
        <v>8.0</v>
      </c>
      <c r="F56" s="100" t="s">
        <v>42</v>
      </c>
      <c r="G56" s="108" t="s">
        <v>42</v>
      </c>
      <c r="H56" s="108"/>
      <c r="I56" s="83">
        <f t="shared" si="1"/>
        <v>8</v>
      </c>
      <c r="J56" s="94">
        <v>1.0</v>
      </c>
      <c r="K56" s="97">
        <v>2.0</v>
      </c>
      <c r="L56" s="86"/>
      <c r="M56" s="86"/>
      <c r="N56" s="86"/>
      <c r="O56" s="86"/>
      <c r="P56" s="86"/>
      <c r="Q56" s="86"/>
      <c r="R56" s="86"/>
      <c r="S56" s="86"/>
      <c r="T56" s="86"/>
      <c r="U56" s="86"/>
      <c r="V56" s="86"/>
      <c r="W56" s="86"/>
      <c r="X56" s="86"/>
      <c r="Y56" s="86"/>
      <c r="Z56" s="86"/>
      <c r="AA56" s="86"/>
      <c r="AB56" s="86"/>
      <c r="AC56" s="86"/>
      <c r="AD56" s="86"/>
    </row>
    <row r="57" ht="15.75" customHeight="1">
      <c r="A57" s="116">
        <v>1974.0</v>
      </c>
      <c r="B57" s="117" t="s">
        <v>22</v>
      </c>
      <c r="C57" s="88" t="s">
        <v>42</v>
      </c>
      <c r="D57" s="118" t="s">
        <v>42</v>
      </c>
      <c r="E57" s="119" t="s">
        <v>42</v>
      </c>
      <c r="F57" s="118" t="s">
        <v>42</v>
      </c>
      <c r="G57" s="119" t="s">
        <v>42</v>
      </c>
      <c r="H57" s="119"/>
      <c r="I57" s="83">
        <f t="shared" si="1"/>
        <v>0</v>
      </c>
      <c r="J57" s="85"/>
      <c r="K57" s="86"/>
      <c r="L57" s="86"/>
      <c r="M57" s="86"/>
      <c r="N57" s="86"/>
      <c r="O57" s="86"/>
      <c r="P57" s="86"/>
      <c r="Q57" s="86"/>
      <c r="R57" s="86"/>
      <c r="S57" s="86"/>
      <c r="T57" s="86"/>
      <c r="U57" s="86"/>
      <c r="V57" s="86"/>
      <c r="W57" s="86"/>
      <c r="X57" s="86"/>
      <c r="Y57" s="86"/>
      <c r="Z57" s="86"/>
      <c r="AA57" s="86"/>
      <c r="AB57" s="86"/>
      <c r="AC57" s="86"/>
      <c r="AD57" s="86"/>
    </row>
    <row r="58" ht="15.75" customHeight="1">
      <c r="A58" s="86">
        <v>1973.0</v>
      </c>
      <c r="B58" s="87" t="s">
        <v>22</v>
      </c>
      <c r="C58" s="88" t="s">
        <v>42</v>
      </c>
      <c r="D58" s="100" t="s">
        <v>42</v>
      </c>
      <c r="E58" s="108" t="s">
        <v>42</v>
      </c>
      <c r="F58" s="100" t="s">
        <v>42</v>
      </c>
      <c r="G58" s="108" t="s">
        <v>42</v>
      </c>
      <c r="H58" s="108"/>
      <c r="I58" s="83">
        <f t="shared" si="1"/>
        <v>0</v>
      </c>
      <c r="J58" s="85"/>
      <c r="K58" s="86"/>
      <c r="L58" s="86"/>
      <c r="M58" s="86"/>
      <c r="N58" s="86"/>
      <c r="O58" s="86"/>
      <c r="P58" s="86"/>
      <c r="Q58" s="86"/>
      <c r="R58" s="86"/>
      <c r="S58" s="86"/>
      <c r="T58" s="86"/>
      <c r="U58" s="86"/>
      <c r="V58" s="86"/>
      <c r="W58" s="86"/>
      <c r="X58" s="86"/>
      <c r="Y58" s="86"/>
      <c r="Z58" s="86"/>
      <c r="AA58" s="86"/>
      <c r="AB58" s="86"/>
      <c r="AC58" s="86"/>
      <c r="AD58" s="86"/>
    </row>
    <row r="59" ht="15.75" customHeight="1">
      <c r="A59" s="78">
        <v>1972.0</v>
      </c>
      <c r="B59" s="79" t="s">
        <v>24</v>
      </c>
      <c r="C59" s="88" t="s">
        <v>42</v>
      </c>
      <c r="D59" s="105" t="s">
        <v>42</v>
      </c>
      <c r="E59" s="106" t="s">
        <v>42</v>
      </c>
      <c r="F59" s="105" t="s">
        <v>42</v>
      </c>
      <c r="G59" s="106" t="s">
        <v>42</v>
      </c>
      <c r="H59" s="106"/>
      <c r="I59" s="83">
        <f t="shared" si="1"/>
        <v>0</v>
      </c>
      <c r="J59" s="85"/>
      <c r="K59" s="86"/>
      <c r="L59" s="86"/>
      <c r="M59" s="86"/>
      <c r="N59" s="86"/>
      <c r="O59" s="86"/>
      <c r="P59" s="86"/>
      <c r="Q59" s="86"/>
      <c r="R59" s="86"/>
      <c r="S59" s="86"/>
      <c r="T59" s="86"/>
      <c r="U59" s="86"/>
      <c r="V59" s="86"/>
      <c r="W59" s="86"/>
      <c r="X59" s="86"/>
      <c r="Y59" s="86"/>
      <c r="Z59" s="86"/>
      <c r="AA59" s="86"/>
      <c r="AB59" s="86"/>
      <c r="AC59" s="86"/>
      <c r="AD59" s="86"/>
    </row>
    <row r="60" ht="15.75" customHeight="1">
      <c r="A60" s="86">
        <v>1971.0</v>
      </c>
      <c r="B60" s="87" t="s">
        <v>24</v>
      </c>
      <c r="C60" s="88" t="s">
        <v>42</v>
      </c>
      <c r="D60" s="100" t="s">
        <v>42</v>
      </c>
      <c r="E60" s="108" t="s">
        <v>42</v>
      </c>
      <c r="F60" s="100" t="s">
        <v>42</v>
      </c>
      <c r="G60" s="108" t="s">
        <v>42</v>
      </c>
      <c r="H60" s="108"/>
      <c r="I60" s="83">
        <f t="shared" si="1"/>
        <v>0</v>
      </c>
      <c r="J60" s="85"/>
      <c r="K60" s="86"/>
      <c r="L60" s="86"/>
      <c r="M60" s="86"/>
      <c r="N60" s="86"/>
      <c r="O60" s="86"/>
      <c r="P60" s="86"/>
      <c r="Q60" s="86"/>
      <c r="R60" s="86"/>
      <c r="S60" s="86"/>
      <c r="T60" s="86"/>
      <c r="U60" s="86"/>
      <c r="V60" s="86"/>
      <c r="W60" s="86"/>
      <c r="X60" s="86"/>
      <c r="Y60" s="86"/>
      <c r="Z60" s="86"/>
      <c r="AA60" s="86"/>
      <c r="AB60" s="86"/>
      <c r="AC60" s="86"/>
      <c r="AD60" s="86"/>
    </row>
    <row r="61" ht="15.75" customHeight="1">
      <c r="A61" s="78">
        <v>1970.0</v>
      </c>
      <c r="B61" s="79" t="s">
        <v>24</v>
      </c>
      <c r="C61" s="88" t="s">
        <v>42</v>
      </c>
      <c r="D61" s="105" t="s">
        <v>42</v>
      </c>
      <c r="E61" s="106" t="s">
        <v>42</v>
      </c>
      <c r="F61" s="105" t="s">
        <v>42</v>
      </c>
      <c r="G61" s="106" t="s">
        <v>42</v>
      </c>
      <c r="H61" s="106"/>
      <c r="I61" s="83">
        <f t="shared" si="1"/>
        <v>0</v>
      </c>
      <c r="J61" s="85"/>
      <c r="K61" s="86"/>
      <c r="L61" s="86"/>
      <c r="M61" s="86"/>
      <c r="N61" s="86"/>
      <c r="O61" s="86"/>
      <c r="P61" s="86"/>
      <c r="Q61" s="86"/>
      <c r="R61" s="86"/>
      <c r="S61" s="86"/>
      <c r="T61" s="86"/>
      <c r="U61" s="86"/>
      <c r="V61" s="86"/>
      <c r="W61" s="86"/>
      <c r="X61" s="86"/>
      <c r="Y61" s="86"/>
      <c r="Z61" s="86"/>
      <c r="AA61" s="86"/>
      <c r="AB61" s="86"/>
      <c r="AC61" s="86"/>
      <c r="AD61" s="86"/>
    </row>
    <row r="62" ht="15.75" customHeight="1">
      <c r="A62" s="86">
        <v>1969.0</v>
      </c>
      <c r="B62" s="87" t="s">
        <v>24</v>
      </c>
      <c r="C62" s="88" t="s">
        <v>42</v>
      </c>
      <c r="D62" s="100" t="s">
        <v>42</v>
      </c>
      <c r="E62" s="108" t="s">
        <v>42</v>
      </c>
      <c r="F62" s="100" t="s">
        <v>42</v>
      </c>
      <c r="G62" s="108" t="s">
        <v>42</v>
      </c>
      <c r="H62" s="108"/>
      <c r="I62" s="83">
        <f t="shared" si="1"/>
        <v>0</v>
      </c>
      <c r="J62" s="85"/>
      <c r="K62" s="86"/>
      <c r="L62" s="86"/>
      <c r="M62" s="86"/>
      <c r="N62" s="86"/>
      <c r="O62" s="86"/>
      <c r="P62" s="86"/>
      <c r="Q62" s="86"/>
      <c r="R62" s="86"/>
      <c r="S62" s="86"/>
      <c r="T62" s="86"/>
      <c r="U62" s="86"/>
      <c r="V62" s="86"/>
      <c r="W62" s="86"/>
      <c r="X62" s="86"/>
      <c r="Y62" s="86"/>
      <c r="Z62" s="86"/>
      <c r="AA62" s="86"/>
      <c r="AB62" s="86"/>
      <c r="AC62" s="86"/>
      <c r="AD62" s="86"/>
    </row>
    <row r="63" ht="15.75" customHeight="1">
      <c r="A63" s="78">
        <v>1968.0</v>
      </c>
      <c r="B63" s="79" t="s">
        <v>24</v>
      </c>
      <c r="C63" s="88" t="s">
        <v>42</v>
      </c>
      <c r="D63" s="105" t="s">
        <v>42</v>
      </c>
      <c r="E63" s="106" t="s">
        <v>42</v>
      </c>
      <c r="F63" s="105" t="s">
        <v>42</v>
      </c>
      <c r="G63" s="106" t="s">
        <v>42</v>
      </c>
      <c r="H63" s="106"/>
      <c r="I63" s="83">
        <f t="shared" si="1"/>
        <v>0</v>
      </c>
      <c r="J63" s="85"/>
      <c r="K63" s="86"/>
      <c r="L63" s="86"/>
      <c r="M63" s="86"/>
      <c r="N63" s="86"/>
      <c r="O63" s="86"/>
      <c r="P63" s="86"/>
      <c r="Q63" s="86"/>
      <c r="R63" s="86"/>
      <c r="S63" s="86"/>
      <c r="T63" s="86"/>
      <c r="U63" s="86"/>
      <c r="V63" s="86"/>
      <c r="W63" s="86"/>
      <c r="X63" s="86"/>
      <c r="Y63" s="86"/>
      <c r="Z63" s="86"/>
      <c r="AA63" s="86"/>
      <c r="AB63" s="86"/>
      <c r="AC63" s="86"/>
      <c r="AD63" s="86"/>
    </row>
    <row r="64" ht="15.75" customHeight="1">
      <c r="A64" s="86">
        <v>1967.0</v>
      </c>
      <c r="B64" s="87" t="s">
        <v>24</v>
      </c>
      <c r="C64" s="88" t="s">
        <v>42</v>
      </c>
      <c r="D64" s="100" t="s">
        <v>42</v>
      </c>
      <c r="E64" s="108" t="s">
        <v>42</v>
      </c>
      <c r="F64" s="100" t="s">
        <v>42</v>
      </c>
      <c r="G64" s="108" t="s">
        <v>42</v>
      </c>
      <c r="H64" s="108"/>
      <c r="I64" s="83">
        <f t="shared" si="1"/>
        <v>0</v>
      </c>
      <c r="J64" s="85"/>
      <c r="K64" s="86"/>
      <c r="L64" s="86"/>
      <c r="M64" s="86"/>
      <c r="N64" s="86"/>
      <c r="O64" s="86"/>
      <c r="P64" s="86"/>
      <c r="Q64" s="86"/>
      <c r="R64" s="86"/>
      <c r="S64" s="86"/>
      <c r="T64" s="86"/>
      <c r="U64" s="86"/>
      <c r="V64" s="86"/>
      <c r="W64" s="86"/>
      <c r="X64" s="86"/>
      <c r="Y64" s="86"/>
      <c r="Z64" s="86"/>
      <c r="AA64" s="86"/>
      <c r="AB64" s="86"/>
      <c r="AC64" s="86"/>
      <c r="AD64" s="86"/>
    </row>
    <row r="65" ht="15.75" customHeight="1">
      <c r="A65" s="78">
        <v>1966.0</v>
      </c>
      <c r="B65" s="79" t="s">
        <v>24</v>
      </c>
      <c r="C65" s="88" t="s">
        <v>42</v>
      </c>
      <c r="D65" s="105" t="s">
        <v>42</v>
      </c>
      <c r="E65" s="106" t="s">
        <v>42</v>
      </c>
      <c r="F65" s="105" t="s">
        <v>42</v>
      </c>
      <c r="G65" s="106" t="s">
        <v>42</v>
      </c>
      <c r="H65" s="106"/>
      <c r="I65" s="83">
        <f t="shared" si="1"/>
        <v>0</v>
      </c>
      <c r="J65" s="85"/>
      <c r="K65" s="86"/>
      <c r="L65" s="86"/>
      <c r="M65" s="86"/>
      <c r="N65" s="86"/>
      <c r="O65" s="86"/>
      <c r="P65" s="86"/>
      <c r="Q65" s="86"/>
      <c r="R65" s="86"/>
      <c r="S65" s="86"/>
      <c r="T65" s="86"/>
      <c r="U65" s="86"/>
      <c r="V65" s="86"/>
      <c r="W65" s="86"/>
      <c r="X65" s="86"/>
      <c r="Y65" s="86"/>
      <c r="Z65" s="86"/>
      <c r="AA65" s="86"/>
      <c r="AB65" s="86"/>
      <c r="AC65" s="86"/>
      <c r="AD65" s="86"/>
    </row>
    <row r="66" ht="15.75" customHeight="1">
      <c r="A66" s="86">
        <v>1965.0</v>
      </c>
      <c r="B66" s="87" t="s">
        <v>24</v>
      </c>
      <c r="C66" s="88" t="s">
        <v>42</v>
      </c>
      <c r="D66" s="100" t="s">
        <v>42</v>
      </c>
      <c r="E66" s="108" t="s">
        <v>42</v>
      </c>
      <c r="F66" s="100" t="s">
        <v>42</v>
      </c>
      <c r="G66" s="108" t="s">
        <v>42</v>
      </c>
      <c r="H66" s="108"/>
      <c r="I66" s="83">
        <f t="shared" si="1"/>
        <v>0</v>
      </c>
      <c r="J66" s="85"/>
      <c r="K66" s="86"/>
      <c r="L66" s="86"/>
      <c r="M66" s="86"/>
      <c r="N66" s="86"/>
      <c r="O66" s="86"/>
      <c r="P66" s="86"/>
      <c r="Q66" s="86"/>
      <c r="R66" s="86"/>
      <c r="S66" s="86"/>
      <c r="T66" s="86"/>
      <c r="U66" s="86"/>
      <c r="V66" s="86"/>
      <c r="W66" s="86"/>
      <c r="X66" s="86"/>
      <c r="Y66" s="86"/>
      <c r="Z66" s="86"/>
      <c r="AA66" s="86"/>
      <c r="AB66" s="86"/>
      <c r="AC66" s="86"/>
      <c r="AD66" s="86"/>
    </row>
    <row r="67" ht="15.75" customHeight="1">
      <c r="A67" s="78">
        <v>1964.0</v>
      </c>
      <c r="B67" s="79" t="s">
        <v>24</v>
      </c>
      <c r="C67" s="88" t="s">
        <v>42</v>
      </c>
      <c r="D67" s="105" t="s">
        <v>42</v>
      </c>
      <c r="E67" s="106" t="s">
        <v>42</v>
      </c>
      <c r="F67" s="105" t="s">
        <v>42</v>
      </c>
      <c r="G67" s="106" t="s">
        <v>42</v>
      </c>
      <c r="H67" s="106"/>
      <c r="I67" s="83">
        <f t="shared" si="1"/>
        <v>0</v>
      </c>
      <c r="J67" s="85"/>
      <c r="K67" s="86"/>
      <c r="L67" s="86"/>
      <c r="M67" s="86"/>
      <c r="N67" s="86"/>
      <c r="O67" s="86"/>
      <c r="P67" s="86"/>
      <c r="Q67" s="86"/>
      <c r="R67" s="86"/>
      <c r="S67" s="86"/>
      <c r="T67" s="86"/>
      <c r="U67" s="86"/>
      <c r="V67" s="86"/>
      <c r="W67" s="86"/>
      <c r="X67" s="86"/>
      <c r="Y67" s="86"/>
      <c r="Z67" s="86"/>
      <c r="AA67" s="86"/>
      <c r="AB67" s="86"/>
      <c r="AC67" s="86"/>
      <c r="AD67" s="86"/>
    </row>
    <row r="68" ht="15.75" customHeight="1">
      <c r="A68" s="86">
        <v>1963.0</v>
      </c>
      <c r="B68" s="87" t="s">
        <v>24</v>
      </c>
      <c r="C68" s="88" t="s">
        <v>42</v>
      </c>
      <c r="D68" s="100" t="s">
        <v>42</v>
      </c>
      <c r="E68" s="108" t="s">
        <v>42</v>
      </c>
      <c r="F68" s="100" t="s">
        <v>42</v>
      </c>
      <c r="G68" s="108" t="s">
        <v>42</v>
      </c>
      <c r="H68" s="108"/>
      <c r="I68" s="83">
        <f t="shared" si="1"/>
        <v>0</v>
      </c>
      <c r="J68" s="85"/>
      <c r="K68" s="86"/>
      <c r="L68" s="86"/>
      <c r="M68" s="86"/>
      <c r="N68" s="86"/>
      <c r="O68" s="86"/>
      <c r="P68" s="86"/>
      <c r="Q68" s="86"/>
      <c r="R68" s="86"/>
      <c r="S68" s="86"/>
      <c r="T68" s="86"/>
      <c r="U68" s="86"/>
      <c r="V68" s="86"/>
      <c r="W68" s="86"/>
      <c r="X68" s="86"/>
      <c r="Y68" s="86"/>
      <c r="Z68" s="86"/>
      <c r="AA68" s="86"/>
      <c r="AB68" s="86"/>
      <c r="AC68" s="86"/>
      <c r="AD68" s="86"/>
    </row>
    <row r="69" ht="15.75" customHeight="1">
      <c r="A69" s="78">
        <v>1962.0</v>
      </c>
      <c r="B69" s="79" t="s">
        <v>24</v>
      </c>
      <c r="C69" s="88" t="s">
        <v>42</v>
      </c>
      <c r="D69" s="105" t="s">
        <v>42</v>
      </c>
      <c r="E69" s="106" t="s">
        <v>42</v>
      </c>
      <c r="F69" s="105" t="s">
        <v>42</v>
      </c>
      <c r="G69" s="106" t="s">
        <v>42</v>
      </c>
      <c r="H69" s="106"/>
      <c r="I69" s="83">
        <f t="shared" si="1"/>
        <v>0</v>
      </c>
      <c r="J69" s="85"/>
      <c r="K69" s="86"/>
      <c r="L69" s="86"/>
      <c r="M69" s="86"/>
      <c r="N69" s="86"/>
      <c r="O69" s="86"/>
      <c r="P69" s="86"/>
      <c r="Q69" s="86"/>
      <c r="R69" s="86"/>
      <c r="S69" s="86"/>
      <c r="T69" s="86"/>
      <c r="U69" s="86"/>
      <c r="V69" s="86"/>
      <c r="W69" s="86"/>
      <c r="X69" s="86"/>
      <c r="Y69" s="86"/>
      <c r="Z69" s="86"/>
      <c r="AA69" s="86"/>
      <c r="AB69" s="86"/>
      <c r="AC69" s="86"/>
      <c r="AD69" s="86"/>
    </row>
    <row r="70" ht="15.75" customHeight="1">
      <c r="A70" s="86">
        <v>1961.0</v>
      </c>
      <c r="B70" s="87" t="s">
        <v>24</v>
      </c>
      <c r="C70" s="88" t="s">
        <v>42</v>
      </c>
      <c r="D70" s="100" t="s">
        <v>42</v>
      </c>
      <c r="E70" s="108" t="s">
        <v>42</v>
      </c>
      <c r="F70" s="100" t="s">
        <v>42</v>
      </c>
      <c r="G70" s="108" t="s">
        <v>42</v>
      </c>
      <c r="H70" s="108"/>
      <c r="I70" s="83">
        <f t="shared" si="1"/>
        <v>0</v>
      </c>
      <c r="J70" s="85"/>
      <c r="K70" s="86"/>
      <c r="L70" s="86"/>
      <c r="M70" s="86"/>
      <c r="N70" s="86"/>
      <c r="O70" s="86"/>
      <c r="P70" s="86"/>
      <c r="Q70" s="86"/>
      <c r="R70" s="86"/>
      <c r="S70" s="86"/>
      <c r="T70" s="86"/>
      <c r="U70" s="86"/>
      <c r="V70" s="86"/>
      <c r="W70" s="86"/>
      <c r="X70" s="86"/>
      <c r="Y70" s="86"/>
      <c r="Z70" s="86"/>
      <c r="AA70" s="86"/>
      <c r="AB70" s="86"/>
      <c r="AC70" s="86"/>
      <c r="AD70" s="86"/>
    </row>
    <row r="71" ht="15.75" customHeight="1">
      <c r="A71" s="78">
        <v>1960.0</v>
      </c>
      <c r="B71" s="79" t="s">
        <v>24</v>
      </c>
      <c r="C71" s="88" t="s">
        <v>42</v>
      </c>
      <c r="D71" s="105" t="s">
        <v>42</v>
      </c>
      <c r="E71" s="106" t="s">
        <v>42</v>
      </c>
      <c r="F71" s="105" t="s">
        <v>42</v>
      </c>
      <c r="G71" s="106" t="s">
        <v>42</v>
      </c>
      <c r="H71" s="106"/>
      <c r="I71" s="83">
        <f t="shared" si="1"/>
        <v>0</v>
      </c>
      <c r="J71" s="85"/>
      <c r="K71" s="86"/>
      <c r="L71" s="86"/>
      <c r="M71" s="86"/>
      <c r="N71" s="86"/>
      <c r="O71" s="86"/>
      <c r="P71" s="86"/>
      <c r="Q71" s="86"/>
      <c r="R71" s="86"/>
      <c r="S71" s="86"/>
      <c r="T71" s="86"/>
      <c r="U71" s="86"/>
      <c r="V71" s="86"/>
      <c r="W71" s="86"/>
      <c r="X71" s="86"/>
      <c r="Y71" s="86"/>
      <c r="Z71" s="86"/>
      <c r="AA71" s="86"/>
      <c r="AB71" s="86"/>
      <c r="AC71" s="86"/>
      <c r="AD71" s="86"/>
    </row>
    <row r="72" ht="15.75" customHeight="1">
      <c r="A72" s="86">
        <v>1959.0</v>
      </c>
      <c r="B72" s="87" t="s">
        <v>24</v>
      </c>
      <c r="C72" s="88" t="s">
        <v>42</v>
      </c>
      <c r="D72" s="100" t="s">
        <v>42</v>
      </c>
      <c r="E72" s="108" t="s">
        <v>42</v>
      </c>
      <c r="F72" s="100" t="s">
        <v>42</v>
      </c>
      <c r="G72" s="108" t="s">
        <v>42</v>
      </c>
      <c r="H72" s="108"/>
      <c r="I72" s="83">
        <f t="shared" si="1"/>
        <v>0</v>
      </c>
      <c r="J72" s="85"/>
      <c r="K72" s="86"/>
      <c r="L72" s="86"/>
      <c r="M72" s="86"/>
      <c r="N72" s="86"/>
      <c r="O72" s="86"/>
      <c r="P72" s="86"/>
      <c r="Q72" s="86"/>
      <c r="R72" s="86"/>
      <c r="S72" s="86"/>
      <c r="T72" s="86"/>
      <c r="U72" s="86"/>
      <c r="V72" s="86"/>
      <c r="W72" s="86"/>
      <c r="X72" s="86"/>
      <c r="Y72" s="86"/>
      <c r="Z72" s="86"/>
      <c r="AA72" s="86"/>
      <c r="AB72" s="86"/>
      <c r="AC72" s="86"/>
      <c r="AD72" s="86"/>
    </row>
    <row r="73" ht="15.75" customHeight="1">
      <c r="A73" s="78">
        <v>1958.0</v>
      </c>
      <c r="B73" s="79" t="s">
        <v>26</v>
      </c>
      <c r="C73" s="88" t="s">
        <v>42</v>
      </c>
      <c r="D73" s="105" t="s">
        <v>42</v>
      </c>
      <c r="E73" s="106" t="s">
        <v>42</v>
      </c>
      <c r="F73" s="105" t="s">
        <v>42</v>
      </c>
      <c r="G73" s="106" t="s">
        <v>42</v>
      </c>
      <c r="H73" s="106"/>
      <c r="I73" s="83">
        <f t="shared" si="1"/>
        <v>0</v>
      </c>
      <c r="J73" s="85"/>
      <c r="K73" s="86"/>
      <c r="L73" s="86"/>
      <c r="M73" s="86"/>
      <c r="N73" s="86"/>
      <c r="O73" s="86"/>
      <c r="P73" s="86"/>
      <c r="Q73" s="86"/>
      <c r="R73" s="86"/>
      <c r="S73" s="86"/>
      <c r="T73" s="86"/>
      <c r="U73" s="86"/>
      <c r="V73" s="86"/>
      <c r="W73" s="86"/>
      <c r="X73" s="86"/>
      <c r="Y73" s="86"/>
      <c r="Z73" s="86"/>
      <c r="AA73" s="86"/>
      <c r="AB73" s="86"/>
      <c r="AC73" s="86"/>
      <c r="AD73" s="86"/>
    </row>
    <row r="74" ht="15.75" customHeight="1">
      <c r="A74" s="86">
        <v>1957.0</v>
      </c>
      <c r="B74" s="87" t="s">
        <v>26</v>
      </c>
      <c r="C74" s="88" t="s">
        <v>42</v>
      </c>
      <c r="D74" s="100" t="s">
        <v>42</v>
      </c>
      <c r="E74" s="108" t="s">
        <v>42</v>
      </c>
      <c r="F74" s="100" t="s">
        <v>42</v>
      </c>
      <c r="G74" s="108" t="s">
        <v>42</v>
      </c>
      <c r="H74" s="108"/>
      <c r="I74" s="83">
        <f t="shared" si="1"/>
        <v>0</v>
      </c>
      <c r="J74" s="85"/>
      <c r="K74" s="86"/>
      <c r="L74" s="86"/>
      <c r="M74" s="86"/>
      <c r="N74" s="86"/>
      <c r="O74" s="86"/>
      <c r="P74" s="86"/>
      <c r="Q74" s="86"/>
      <c r="R74" s="86"/>
      <c r="S74" s="86"/>
      <c r="T74" s="86"/>
      <c r="U74" s="86"/>
      <c r="V74" s="86"/>
      <c r="W74" s="86"/>
      <c r="X74" s="86"/>
      <c r="Y74" s="86"/>
      <c r="Z74" s="86"/>
      <c r="AA74" s="86"/>
      <c r="AB74" s="86"/>
      <c r="AC74" s="86"/>
      <c r="AD74" s="86"/>
    </row>
    <row r="75" ht="15.75" customHeight="1">
      <c r="A75" s="78">
        <v>1956.0</v>
      </c>
      <c r="B75" s="79" t="s">
        <v>26</v>
      </c>
      <c r="C75" s="88" t="s">
        <v>42</v>
      </c>
      <c r="D75" s="105" t="s">
        <v>42</v>
      </c>
      <c r="E75" s="106" t="s">
        <v>42</v>
      </c>
      <c r="F75" s="105" t="s">
        <v>42</v>
      </c>
      <c r="G75" s="106" t="s">
        <v>42</v>
      </c>
      <c r="H75" s="106"/>
      <c r="I75" s="83">
        <f t="shared" si="1"/>
        <v>0</v>
      </c>
      <c r="J75" s="85"/>
      <c r="K75" s="86"/>
      <c r="L75" s="86"/>
      <c r="M75" s="86"/>
      <c r="N75" s="86"/>
      <c r="O75" s="86"/>
      <c r="P75" s="86"/>
      <c r="Q75" s="86"/>
      <c r="R75" s="86"/>
      <c r="S75" s="86"/>
      <c r="T75" s="86"/>
      <c r="U75" s="86"/>
      <c r="V75" s="86"/>
      <c r="W75" s="86"/>
      <c r="X75" s="86"/>
      <c r="Y75" s="86"/>
      <c r="Z75" s="86"/>
      <c r="AA75" s="86"/>
      <c r="AB75" s="86"/>
      <c r="AC75" s="86"/>
      <c r="AD75" s="86"/>
    </row>
    <row r="76" ht="15.75" customHeight="1">
      <c r="A76" s="86">
        <v>1955.0</v>
      </c>
      <c r="B76" s="87" t="s">
        <v>26</v>
      </c>
      <c r="C76" s="88" t="s">
        <v>42</v>
      </c>
      <c r="D76" s="100" t="s">
        <v>42</v>
      </c>
      <c r="E76" s="108" t="s">
        <v>42</v>
      </c>
      <c r="F76" s="100" t="s">
        <v>42</v>
      </c>
      <c r="G76" s="108" t="s">
        <v>42</v>
      </c>
      <c r="H76" s="108"/>
      <c r="I76" s="83">
        <f t="shared" si="1"/>
        <v>0</v>
      </c>
      <c r="J76" s="85"/>
      <c r="K76" s="86"/>
      <c r="L76" s="86"/>
      <c r="M76" s="86"/>
      <c r="N76" s="86"/>
      <c r="O76" s="86"/>
      <c r="P76" s="86"/>
      <c r="Q76" s="86"/>
      <c r="R76" s="86"/>
      <c r="S76" s="86"/>
      <c r="T76" s="86"/>
      <c r="U76" s="86"/>
      <c r="V76" s="86"/>
      <c r="W76" s="86"/>
      <c r="X76" s="86"/>
      <c r="Y76" s="86"/>
      <c r="Z76" s="86"/>
      <c r="AA76" s="86"/>
      <c r="AB76" s="86"/>
      <c r="AC76" s="86"/>
      <c r="AD76" s="86"/>
    </row>
    <row r="77" ht="15.75" customHeight="1">
      <c r="A77" s="86">
        <v>1954.0</v>
      </c>
      <c r="B77" s="120" t="s">
        <v>43</v>
      </c>
      <c r="C77" s="88" t="s">
        <v>42</v>
      </c>
      <c r="D77" s="100" t="s">
        <v>42</v>
      </c>
      <c r="E77" s="108" t="s">
        <v>42</v>
      </c>
      <c r="F77" s="100" t="s">
        <v>42</v>
      </c>
      <c r="G77" s="108" t="s">
        <v>42</v>
      </c>
      <c r="H77" s="108"/>
      <c r="I77" s="83">
        <f t="shared" si="1"/>
        <v>0</v>
      </c>
      <c r="J77" s="85"/>
      <c r="K77" s="86"/>
      <c r="L77" s="86"/>
      <c r="M77" s="86"/>
      <c r="N77" s="86"/>
      <c r="O77" s="86"/>
      <c r="P77" s="86"/>
      <c r="Q77" s="86"/>
      <c r="R77" s="86"/>
      <c r="S77" s="86"/>
      <c r="T77" s="86"/>
      <c r="U77" s="86"/>
      <c r="V77" s="86"/>
      <c r="W77" s="86"/>
      <c r="X77" s="86"/>
      <c r="Y77" s="86"/>
      <c r="Z77" s="86"/>
      <c r="AA77" s="86"/>
      <c r="AB77" s="86"/>
      <c r="AC77" s="86"/>
      <c r="AD77" s="86"/>
    </row>
    <row r="78" ht="15.75" customHeight="1">
      <c r="A78" s="86">
        <v>1953.0</v>
      </c>
      <c r="B78" s="120" t="s">
        <v>43</v>
      </c>
      <c r="C78" s="88" t="s">
        <v>42</v>
      </c>
      <c r="D78" s="100" t="s">
        <v>42</v>
      </c>
      <c r="E78" s="108" t="s">
        <v>42</v>
      </c>
      <c r="F78" s="100" t="s">
        <v>42</v>
      </c>
      <c r="G78" s="108" t="s">
        <v>42</v>
      </c>
      <c r="H78" s="108"/>
      <c r="I78" s="83">
        <f t="shared" si="1"/>
        <v>0</v>
      </c>
      <c r="J78" s="85"/>
      <c r="K78" s="86"/>
      <c r="L78" s="86"/>
      <c r="M78" s="86"/>
      <c r="N78" s="86"/>
      <c r="O78" s="86"/>
      <c r="P78" s="86"/>
      <c r="Q78" s="86"/>
      <c r="R78" s="86"/>
      <c r="S78" s="86"/>
      <c r="T78" s="86"/>
      <c r="U78" s="86"/>
      <c r="V78" s="86"/>
      <c r="W78" s="86"/>
      <c r="X78" s="86"/>
      <c r="Y78" s="86"/>
      <c r="Z78" s="86"/>
      <c r="AA78" s="86"/>
      <c r="AB78" s="86"/>
      <c r="AC78" s="86"/>
      <c r="AD78" s="86"/>
    </row>
    <row r="79" ht="15.75" customHeight="1">
      <c r="A79" s="86">
        <v>1952.0</v>
      </c>
      <c r="B79" s="120" t="s">
        <v>43</v>
      </c>
      <c r="C79" s="88" t="s">
        <v>42</v>
      </c>
      <c r="D79" s="100" t="s">
        <v>42</v>
      </c>
      <c r="E79" s="108" t="s">
        <v>42</v>
      </c>
      <c r="F79" s="100" t="s">
        <v>42</v>
      </c>
      <c r="G79" s="108" t="s">
        <v>42</v>
      </c>
      <c r="H79" s="108"/>
      <c r="I79" s="83">
        <f t="shared" si="1"/>
        <v>0</v>
      </c>
      <c r="J79" s="85"/>
      <c r="K79" s="86"/>
      <c r="L79" s="86"/>
      <c r="M79" s="86"/>
      <c r="N79" s="86"/>
      <c r="O79" s="86"/>
      <c r="P79" s="86"/>
      <c r="Q79" s="86"/>
      <c r="R79" s="86"/>
      <c r="S79" s="86"/>
      <c r="T79" s="86"/>
      <c r="U79" s="86"/>
      <c r="V79" s="86"/>
      <c r="W79" s="86"/>
      <c r="X79" s="86"/>
      <c r="Y79" s="86"/>
      <c r="Z79" s="86"/>
      <c r="AA79" s="86"/>
      <c r="AB79" s="86"/>
      <c r="AC79" s="86"/>
      <c r="AD79" s="86"/>
    </row>
    <row r="80" ht="15.75" customHeight="1">
      <c r="A80" s="86">
        <v>1951.0</v>
      </c>
      <c r="B80" s="120" t="s">
        <v>43</v>
      </c>
      <c r="C80" s="88" t="s">
        <v>42</v>
      </c>
      <c r="D80" s="100" t="s">
        <v>42</v>
      </c>
      <c r="E80" s="108" t="s">
        <v>42</v>
      </c>
      <c r="F80" s="100" t="s">
        <v>42</v>
      </c>
      <c r="G80" s="108" t="s">
        <v>42</v>
      </c>
      <c r="H80" s="108"/>
      <c r="I80" s="83">
        <f t="shared" si="1"/>
        <v>0</v>
      </c>
      <c r="J80" s="85"/>
      <c r="K80" s="86"/>
      <c r="L80" s="86"/>
      <c r="M80" s="86"/>
      <c r="N80" s="86"/>
      <c r="O80" s="86"/>
      <c r="P80" s="86"/>
      <c r="Q80" s="86"/>
      <c r="R80" s="86"/>
      <c r="S80" s="86"/>
      <c r="T80" s="86"/>
      <c r="U80" s="86"/>
      <c r="V80" s="86"/>
      <c r="W80" s="86"/>
      <c r="X80" s="86"/>
      <c r="Y80" s="86"/>
      <c r="Z80" s="86"/>
      <c r="AA80" s="86"/>
      <c r="AB80" s="86"/>
      <c r="AC80" s="86"/>
      <c r="AD80" s="86"/>
    </row>
    <row r="81" ht="15.75" customHeight="1">
      <c r="A81" s="86">
        <v>1950.0</v>
      </c>
      <c r="B81" s="120" t="s">
        <v>43</v>
      </c>
      <c r="C81" s="88" t="s">
        <v>42</v>
      </c>
      <c r="D81" s="100" t="s">
        <v>42</v>
      </c>
      <c r="E81" s="108" t="s">
        <v>42</v>
      </c>
      <c r="F81" s="100" t="s">
        <v>42</v>
      </c>
      <c r="G81" s="108" t="s">
        <v>42</v>
      </c>
      <c r="H81" s="108"/>
      <c r="I81" s="83">
        <f t="shared" si="1"/>
        <v>0</v>
      </c>
      <c r="J81" s="85"/>
      <c r="K81" s="86"/>
      <c r="L81" s="86"/>
      <c r="M81" s="86"/>
      <c r="N81" s="86"/>
      <c r="O81" s="86"/>
      <c r="P81" s="86"/>
      <c r="Q81" s="86"/>
      <c r="R81" s="86"/>
      <c r="S81" s="86"/>
      <c r="T81" s="86"/>
      <c r="U81" s="86"/>
      <c r="V81" s="86"/>
      <c r="W81" s="86"/>
      <c r="X81" s="86"/>
      <c r="Y81" s="86"/>
      <c r="Z81" s="86"/>
      <c r="AA81" s="86"/>
      <c r="AB81" s="86"/>
      <c r="AC81" s="86"/>
      <c r="AD81" s="86"/>
    </row>
    <row r="82" ht="15.75" customHeight="1">
      <c r="A82" s="86">
        <v>1949.0</v>
      </c>
      <c r="B82" s="120" t="s">
        <v>43</v>
      </c>
      <c r="C82" s="88" t="s">
        <v>42</v>
      </c>
      <c r="D82" s="100" t="s">
        <v>42</v>
      </c>
      <c r="E82" s="108" t="s">
        <v>42</v>
      </c>
      <c r="F82" s="100" t="s">
        <v>42</v>
      </c>
      <c r="G82" s="108" t="s">
        <v>42</v>
      </c>
      <c r="H82" s="108"/>
      <c r="I82" s="83">
        <f t="shared" si="1"/>
        <v>0</v>
      </c>
      <c r="J82" s="85"/>
      <c r="K82" s="86"/>
      <c r="L82" s="86"/>
      <c r="M82" s="86"/>
      <c r="N82" s="86"/>
      <c r="O82" s="86"/>
      <c r="P82" s="86"/>
      <c r="Q82" s="86"/>
      <c r="R82" s="86"/>
      <c r="S82" s="86"/>
      <c r="T82" s="86"/>
      <c r="U82" s="86"/>
      <c r="V82" s="86"/>
      <c r="W82" s="86"/>
      <c r="X82" s="86"/>
      <c r="Y82" s="86"/>
      <c r="Z82" s="86"/>
      <c r="AA82" s="86"/>
      <c r="AB82" s="86"/>
      <c r="AC82" s="86"/>
      <c r="AD82" s="86"/>
    </row>
    <row r="83" ht="15.75" customHeight="1">
      <c r="A83" s="86">
        <v>1948.0</v>
      </c>
      <c r="B83" s="120" t="s">
        <v>43</v>
      </c>
      <c r="C83" s="88" t="s">
        <v>42</v>
      </c>
      <c r="D83" s="100" t="s">
        <v>42</v>
      </c>
      <c r="E83" s="108" t="s">
        <v>42</v>
      </c>
      <c r="F83" s="100" t="s">
        <v>42</v>
      </c>
      <c r="G83" s="108" t="s">
        <v>42</v>
      </c>
      <c r="H83" s="108"/>
      <c r="I83" s="83">
        <f t="shared" si="1"/>
        <v>0</v>
      </c>
      <c r="J83" s="85"/>
      <c r="K83" s="86"/>
      <c r="L83" s="86"/>
      <c r="M83" s="86"/>
      <c r="N83" s="86"/>
      <c r="O83" s="86"/>
      <c r="P83" s="86"/>
      <c r="Q83" s="86"/>
      <c r="R83" s="86"/>
      <c r="S83" s="86"/>
      <c r="T83" s="86"/>
      <c r="U83" s="86"/>
      <c r="V83" s="86"/>
      <c r="W83" s="86"/>
      <c r="X83" s="86"/>
      <c r="Y83" s="86"/>
      <c r="Z83" s="86"/>
      <c r="AA83" s="86"/>
      <c r="AB83" s="86"/>
      <c r="AC83" s="86"/>
      <c r="AD83" s="86"/>
    </row>
    <row r="84" ht="15.75" customHeight="1">
      <c r="A84" s="86">
        <v>1947.0</v>
      </c>
      <c r="B84" s="120" t="s">
        <v>43</v>
      </c>
      <c r="C84" s="88" t="s">
        <v>42</v>
      </c>
      <c r="D84" s="100" t="s">
        <v>42</v>
      </c>
      <c r="E84" s="108" t="s">
        <v>42</v>
      </c>
      <c r="F84" s="100" t="s">
        <v>42</v>
      </c>
      <c r="G84" s="108" t="s">
        <v>42</v>
      </c>
      <c r="H84" s="108"/>
      <c r="I84" s="83">
        <f t="shared" si="1"/>
        <v>0</v>
      </c>
      <c r="J84" s="85"/>
      <c r="K84" s="86"/>
      <c r="L84" s="86"/>
      <c r="M84" s="86"/>
      <c r="N84" s="86"/>
      <c r="O84" s="86"/>
      <c r="P84" s="86"/>
      <c r="Q84" s="86"/>
      <c r="R84" s="86"/>
      <c r="S84" s="86"/>
      <c r="T84" s="86"/>
      <c r="U84" s="86"/>
      <c r="V84" s="86"/>
      <c r="W84" s="86"/>
      <c r="X84" s="86"/>
      <c r="Y84" s="86"/>
      <c r="Z84" s="86"/>
      <c r="AA84" s="86"/>
      <c r="AB84" s="86"/>
      <c r="AC84" s="86"/>
      <c r="AD84" s="86"/>
    </row>
    <row r="85" ht="15.75" customHeight="1">
      <c r="A85" s="86">
        <v>1946.0</v>
      </c>
      <c r="B85" s="120" t="s">
        <v>43</v>
      </c>
      <c r="C85" s="88" t="s">
        <v>42</v>
      </c>
      <c r="D85" s="100" t="s">
        <v>42</v>
      </c>
      <c r="E85" s="108" t="s">
        <v>42</v>
      </c>
      <c r="F85" s="100" t="s">
        <v>42</v>
      </c>
      <c r="G85" s="108" t="s">
        <v>42</v>
      </c>
      <c r="H85" s="108"/>
      <c r="I85" s="83">
        <f t="shared" si="1"/>
        <v>0</v>
      </c>
      <c r="J85" s="85"/>
      <c r="K85" s="86"/>
      <c r="L85" s="86"/>
      <c r="M85" s="86"/>
      <c r="N85" s="86"/>
      <c r="O85" s="86"/>
      <c r="P85" s="86"/>
      <c r="Q85" s="86"/>
      <c r="R85" s="86"/>
      <c r="S85" s="86"/>
      <c r="T85" s="86"/>
      <c r="U85" s="86"/>
      <c r="V85" s="86"/>
      <c r="W85" s="86"/>
      <c r="X85" s="86"/>
      <c r="Y85" s="86"/>
      <c r="Z85" s="86"/>
      <c r="AA85" s="86"/>
      <c r="AB85" s="86"/>
      <c r="AC85" s="86"/>
      <c r="AD85" s="86"/>
    </row>
    <row r="86" ht="15.75" customHeight="1">
      <c r="A86" s="86">
        <v>1945.0</v>
      </c>
      <c r="B86" s="120" t="s">
        <v>43</v>
      </c>
      <c r="C86" s="88" t="s">
        <v>42</v>
      </c>
      <c r="D86" s="100" t="s">
        <v>42</v>
      </c>
      <c r="E86" s="108" t="s">
        <v>42</v>
      </c>
      <c r="F86" s="100" t="s">
        <v>42</v>
      </c>
      <c r="G86" s="108" t="s">
        <v>42</v>
      </c>
      <c r="H86" s="108"/>
      <c r="I86" s="83">
        <f t="shared" si="1"/>
        <v>0</v>
      </c>
      <c r="J86" s="85"/>
      <c r="K86" s="86"/>
      <c r="L86" s="86"/>
      <c r="M86" s="86"/>
      <c r="N86" s="86"/>
      <c r="O86" s="86"/>
      <c r="P86" s="86"/>
      <c r="Q86" s="86"/>
      <c r="R86" s="86"/>
      <c r="S86" s="86"/>
      <c r="T86" s="86"/>
      <c r="U86" s="86"/>
      <c r="V86" s="86"/>
      <c r="W86" s="86"/>
      <c r="X86" s="86"/>
      <c r="Y86" s="86"/>
      <c r="Z86" s="86"/>
      <c r="AA86" s="86"/>
      <c r="AB86" s="86"/>
      <c r="AC86" s="86"/>
      <c r="AD86" s="86"/>
    </row>
    <row r="87" ht="15.75" customHeight="1">
      <c r="A87" s="86">
        <v>1944.0</v>
      </c>
      <c r="B87" s="120" t="s">
        <v>43</v>
      </c>
      <c r="C87" s="88" t="s">
        <v>42</v>
      </c>
      <c r="D87" s="100" t="s">
        <v>42</v>
      </c>
      <c r="E87" s="108" t="s">
        <v>42</v>
      </c>
      <c r="F87" s="100" t="s">
        <v>42</v>
      </c>
      <c r="G87" s="108" t="s">
        <v>42</v>
      </c>
      <c r="H87" s="108"/>
      <c r="I87" s="83">
        <f t="shared" si="1"/>
        <v>0</v>
      </c>
      <c r="J87" s="85"/>
      <c r="K87" s="86"/>
      <c r="L87" s="86"/>
      <c r="M87" s="86"/>
      <c r="N87" s="86"/>
      <c r="O87" s="86"/>
      <c r="P87" s="86"/>
      <c r="Q87" s="86"/>
      <c r="R87" s="86"/>
      <c r="S87" s="86"/>
      <c r="T87" s="86"/>
      <c r="U87" s="86"/>
      <c r="V87" s="86"/>
      <c r="W87" s="86"/>
      <c r="X87" s="86"/>
      <c r="Y87" s="86"/>
      <c r="Z87" s="86"/>
      <c r="AA87" s="86"/>
      <c r="AB87" s="86"/>
      <c r="AC87" s="86"/>
      <c r="AD87" s="86"/>
    </row>
    <row r="88" ht="15.75" customHeight="1">
      <c r="A88" s="86">
        <v>1943.0</v>
      </c>
      <c r="B88" s="120" t="s">
        <v>43</v>
      </c>
      <c r="C88" s="88" t="s">
        <v>42</v>
      </c>
      <c r="D88" s="100" t="s">
        <v>42</v>
      </c>
      <c r="E88" s="108" t="s">
        <v>42</v>
      </c>
      <c r="F88" s="100" t="s">
        <v>42</v>
      </c>
      <c r="G88" s="108" t="s">
        <v>42</v>
      </c>
      <c r="H88" s="108"/>
      <c r="I88" s="83">
        <f t="shared" si="1"/>
        <v>0</v>
      </c>
      <c r="J88" s="85"/>
      <c r="K88" s="86"/>
      <c r="L88" s="86"/>
      <c r="M88" s="86"/>
      <c r="N88" s="86"/>
      <c r="O88" s="86"/>
      <c r="P88" s="86"/>
      <c r="Q88" s="86"/>
      <c r="R88" s="86"/>
      <c r="S88" s="86"/>
      <c r="T88" s="86"/>
      <c r="U88" s="86"/>
      <c r="V88" s="86"/>
      <c r="W88" s="86"/>
      <c r="X88" s="86"/>
      <c r="Y88" s="86"/>
      <c r="Z88" s="86"/>
      <c r="AA88" s="86"/>
      <c r="AB88" s="86"/>
      <c r="AC88" s="86"/>
      <c r="AD88" s="86"/>
    </row>
    <row r="89" ht="15.75" customHeight="1">
      <c r="A89" s="121">
        <v>1942.0</v>
      </c>
      <c r="B89" s="120" t="s">
        <v>44</v>
      </c>
      <c r="C89" s="88" t="s">
        <v>42</v>
      </c>
      <c r="D89" s="100" t="s">
        <v>42</v>
      </c>
      <c r="E89" s="108" t="s">
        <v>42</v>
      </c>
      <c r="F89" s="100" t="s">
        <v>42</v>
      </c>
      <c r="G89" s="108" t="s">
        <v>42</v>
      </c>
      <c r="H89" s="108"/>
      <c r="I89" s="83">
        <f t="shared" si="1"/>
        <v>0</v>
      </c>
      <c r="J89" s="85"/>
      <c r="K89" s="86"/>
      <c r="L89" s="86"/>
      <c r="M89" s="86"/>
      <c r="N89" s="86"/>
      <c r="O89" s="86"/>
      <c r="P89" s="86"/>
      <c r="Q89" s="86"/>
      <c r="R89" s="86"/>
      <c r="S89" s="86"/>
      <c r="T89" s="86"/>
      <c r="U89" s="86"/>
      <c r="V89" s="86"/>
      <c r="W89" s="86"/>
      <c r="X89" s="86"/>
      <c r="Y89" s="86"/>
      <c r="Z89" s="86"/>
      <c r="AA89" s="86"/>
      <c r="AB89" s="86"/>
      <c r="AC89" s="86"/>
      <c r="AD89" s="86"/>
    </row>
    <row r="90" ht="15.75" customHeight="1">
      <c r="A90" s="86">
        <v>1942.0</v>
      </c>
      <c r="B90" s="120" t="s">
        <v>45</v>
      </c>
      <c r="C90" s="88" t="s">
        <v>42</v>
      </c>
      <c r="D90" s="100" t="s">
        <v>42</v>
      </c>
      <c r="E90" s="108" t="s">
        <v>42</v>
      </c>
      <c r="F90" s="100" t="s">
        <v>42</v>
      </c>
      <c r="G90" s="108" t="s">
        <v>42</v>
      </c>
      <c r="H90" s="108"/>
      <c r="I90" s="83">
        <f t="shared" si="1"/>
        <v>0</v>
      </c>
      <c r="J90" s="85"/>
      <c r="K90" s="86"/>
      <c r="L90" s="86"/>
      <c r="M90" s="86"/>
      <c r="N90" s="86"/>
      <c r="O90" s="86"/>
      <c r="P90" s="86"/>
      <c r="Q90" s="86"/>
      <c r="R90" s="86"/>
      <c r="S90" s="86"/>
      <c r="T90" s="86"/>
      <c r="U90" s="86"/>
      <c r="V90" s="86"/>
      <c r="W90" s="86"/>
      <c r="X90" s="86"/>
      <c r="Y90" s="86"/>
      <c r="Z90" s="86"/>
      <c r="AA90" s="86"/>
      <c r="AB90" s="86"/>
      <c r="AC90" s="86"/>
      <c r="AD90" s="86"/>
    </row>
    <row r="91" ht="15.75" customHeight="1">
      <c r="A91" s="86">
        <v>1941.0</v>
      </c>
      <c r="B91" s="120" t="s">
        <v>45</v>
      </c>
      <c r="C91" s="88" t="s">
        <v>42</v>
      </c>
      <c r="D91" s="100" t="s">
        <v>42</v>
      </c>
      <c r="E91" s="108" t="s">
        <v>42</v>
      </c>
      <c r="F91" s="100" t="s">
        <v>42</v>
      </c>
      <c r="G91" s="108" t="s">
        <v>42</v>
      </c>
      <c r="H91" s="108"/>
      <c r="I91" s="83">
        <f t="shared" si="1"/>
        <v>0</v>
      </c>
      <c r="J91" s="85"/>
      <c r="K91" s="86"/>
      <c r="L91" s="86"/>
      <c r="M91" s="86"/>
      <c r="N91" s="86"/>
      <c r="O91" s="86"/>
      <c r="P91" s="86"/>
      <c r="Q91" s="86"/>
      <c r="R91" s="86"/>
      <c r="S91" s="86"/>
      <c r="T91" s="86"/>
      <c r="U91" s="86"/>
      <c r="V91" s="86"/>
      <c r="W91" s="86"/>
      <c r="X91" s="86"/>
      <c r="Y91" s="86"/>
      <c r="Z91" s="86"/>
      <c r="AA91" s="86"/>
      <c r="AB91" s="86"/>
      <c r="AC91" s="86"/>
      <c r="AD91" s="86"/>
    </row>
    <row r="92" ht="15.75" customHeight="1">
      <c r="A92" s="86">
        <v>1940.0</v>
      </c>
      <c r="B92" s="120" t="s">
        <v>45</v>
      </c>
      <c r="C92" s="88" t="s">
        <v>42</v>
      </c>
      <c r="D92" s="100" t="s">
        <v>42</v>
      </c>
      <c r="E92" s="108" t="s">
        <v>42</v>
      </c>
      <c r="F92" s="100" t="s">
        <v>42</v>
      </c>
      <c r="G92" s="108" t="s">
        <v>42</v>
      </c>
      <c r="H92" s="108"/>
      <c r="I92" s="83">
        <f t="shared" si="1"/>
        <v>0</v>
      </c>
      <c r="J92" s="85"/>
      <c r="K92" s="86"/>
      <c r="L92" s="86"/>
      <c r="M92" s="86"/>
      <c r="N92" s="86"/>
      <c r="O92" s="86"/>
      <c r="P92" s="86"/>
      <c r="Q92" s="86"/>
      <c r="R92" s="86"/>
      <c r="S92" s="86"/>
      <c r="T92" s="86"/>
      <c r="U92" s="86"/>
      <c r="V92" s="86"/>
      <c r="W92" s="86"/>
      <c r="X92" s="86"/>
      <c r="Y92" s="86"/>
      <c r="Z92" s="86"/>
      <c r="AA92" s="86"/>
      <c r="AB92" s="86"/>
      <c r="AC92" s="86"/>
      <c r="AD92" s="86"/>
    </row>
    <row r="93" ht="15.75" customHeight="1">
      <c r="A93" s="86">
        <v>1939.0</v>
      </c>
      <c r="B93" s="120" t="s">
        <v>45</v>
      </c>
      <c r="C93" s="88" t="s">
        <v>42</v>
      </c>
      <c r="D93" s="100" t="s">
        <v>42</v>
      </c>
      <c r="E93" s="108" t="s">
        <v>42</v>
      </c>
      <c r="F93" s="100" t="s">
        <v>42</v>
      </c>
      <c r="G93" s="108" t="s">
        <v>42</v>
      </c>
      <c r="H93" s="108"/>
      <c r="I93" s="83">
        <f t="shared" si="1"/>
        <v>0</v>
      </c>
      <c r="J93" s="85"/>
      <c r="K93" s="86"/>
      <c r="L93" s="86"/>
      <c r="M93" s="86"/>
      <c r="N93" s="86"/>
      <c r="O93" s="86"/>
      <c r="P93" s="86"/>
      <c r="Q93" s="86"/>
      <c r="R93" s="86"/>
      <c r="S93" s="86"/>
      <c r="T93" s="86"/>
      <c r="U93" s="86"/>
      <c r="V93" s="86"/>
      <c r="W93" s="86"/>
      <c r="X93" s="86"/>
      <c r="Y93" s="86"/>
      <c r="Z93" s="86"/>
      <c r="AA93" s="86"/>
      <c r="AB93" s="86"/>
      <c r="AC93" s="86"/>
      <c r="AD93" s="86"/>
    </row>
    <row r="94" ht="15.75" customHeight="1">
      <c r="A94" s="86">
        <v>1938.0</v>
      </c>
      <c r="B94" s="120" t="s">
        <v>45</v>
      </c>
      <c r="C94" s="88" t="s">
        <v>42</v>
      </c>
      <c r="D94" s="100" t="s">
        <v>42</v>
      </c>
      <c r="E94" s="108" t="s">
        <v>42</v>
      </c>
      <c r="F94" s="100" t="s">
        <v>42</v>
      </c>
      <c r="G94" s="108" t="s">
        <v>42</v>
      </c>
      <c r="H94" s="108"/>
      <c r="I94" s="83">
        <f t="shared" si="1"/>
        <v>0</v>
      </c>
      <c r="J94" s="85"/>
      <c r="K94" s="86"/>
      <c r="L94" s="86"/>
      <c r="M94" s="86"/>
      <c r="N94" s="86"/>
      <c r="O94" s="86"/>
      <c r="P94" s="86"/>
      <c r="Q94" s="86"/>
      <c r="R94" s="86"/>
      <c r="S94" s="86"/>
      <c r="T94" s="86"/>
      <c r="U94" s="86"/>
      <c r="V94" s="86"/>
      <c r="W94" s="86"/>
      <c r="X94" s="86"/>
      <c r="Y94" s="86"/>
      <c r="Z94" s="86"/>
      <c r="AA94" s="86"/>
      <c r="AB94" s="86"/>
      <c r="AC94" s="86"/>
      <c r="AD94" s="86"/>
    </row>
    <row r="95" ht="15.75" customHeight="1">
      <c r="A95" s="86">
        <v>1937.0</v>
      </c>
      <c r="B95" s="120" t="s">
        <v>45</v>
      </c>
      <c r="C95" s="88" t="s">
        <v>42</v>
      </c>
      <c r="D95" s="100" t="s">
        <v>42</v>
      </c>
      <c r="E95" s="108" t="s">
        <v>42</v>
      </c>
      <c r="F95" s="100" t="s">
        <v>42</v>
      </c>
      <c r="G95" s="108" t="s">
        <v>42</v>
      </c>
      <c r="H95" s="108"/>
      <c r="I95" s="83">
        <f t="shared" si="1"/>
        <v>0</v>
      </c>
      <c r="J95" s="85"/>
      <c r="K95" s="86"/>
      <c r="L95" s="86"/>
      <c r="M95" s="86"/>
      <c r="N95" s="86"/>
      <c r="O95" s="86"/>
      <c r="P95" s="86"/>
      <c r="Q95" s="86"/>
      <c r="R95" s="86"/>
      <c r="S95" s="86"/>
      <c r="T95" s="86"/>
      <c r="U95" s="86"/>
      <c r="V95" s="86"/>
      <c r="W95" s="86"/>
      <c r="X95" s="86"/>
      <c r="Y95" s="86"/>
      <c r="Z95" s="86"/>
      <c r="AA95" s="86"/>
      <c r="AB95" s="86"/>
      <c r="AC95" s="86"/>
      <c r="AD95" s="86"/>
    </row>
    <row r="96" ht="15.75" customHeight="1">
      <c r="A96" s="86">
        <v>1936.0</v>
      </c>
      <c r="B96" s="120" t="s">
        <v>45</v>
      </c>
      <c r="C96" s="88" t="s">
        <v>42</v>
      </c>
      <c r="D96" s="100" t="s">
        <v>42</v>
      </c>
      <c r="E96" s="108" t="s">
        <v>42</v>
      </c>
      <c r="F96" s="100" t="s">
        <v>42</v>
      </c>
      <c r="G96" s="108" t="s">
        <v>42</v>
      </c>
      <c r="H96" s="108"/>
      <c r="I96" s="83">
        <f t="shared" si="1"/>
        <v>0</v>
      </c>
      <c r="J96" s="85"/>
      <c r="K96" s="86"/>
      <c r="L96" s="86"/>
      <c r="M96" s="86"/>
      <c r="N96" s="86"/>
      <c r="O96" s="86"/>
      <c r="P96" s="86"/>
      <c r="Q96" s="86"/>
      <c r="R96" s="86"/>
      <c r="S96" s="86"/>
      <c r="T96" s="86"/>
      <c r="U96" s="86"/>
      <c r="V96" s="86"/>
      <c r="W96" s="86"/>
      <c r="X96" s="86"/>
      <c r="Y96" s="86"/>
      <c r="Z96" s="86"/>
      <c r="AA96" s="86"/>
      <c r="AB96" s="86"/>
      <c r="AC96" s="86"/>
      <c r="AD96" s="86"/>
    </row>
    <row r="97" ht="15.75" customHeight="1">
      <c r="A97" s="86">
        <v>1935.0</v>
      </c>
      <c r="B97" s="120" t="s">
        <v>45</v>
      </c>
      <c r="C97" s="88" t="s">
        <v>42</v>
      </c>
      <c r="D97" s="100" t="s">
        <v>42</v>
      </c>
      <c r="E97" s="108" t="s">
        <v>42</v>
      </c>
      <c r="F97" s="100" t="s">
        <v>42</v>
      </c>
      <c r="G97" s="108" t="s">
        <v>42</v>
      </c>
      <c r="H97" s="108"/>
      <c r="I97" s="83">
        <f t="shared" si="1"/>
        <v>0</v>
      </c>
      <c r="J97" s="85"/>
      <c r="K97" s="86"/>
      <c r="L97" s="86"/>
      <c r="M97" s="86"/>
      <c r="N97" s="86"/>
      <c r="O97" s="86"/>
      <c r="P97" s="86"/>
      <c r="Q97" s="86"/>
      <c r="R97" s="86"/>
      <c r="S97" s="86"/>
      <c r="T97" s="86"/>
      <c r="U97" s="86"/>
      <c r="V97" s="86"/>
      <c r="W97" s="86"/>
      <c r="X97" s="86"/>
      <c r="Y97" s="86"/>
      <c r="Z97" s="86"/>
      <c r="AA97" s="86"/>
      <c r="AB97" s="86"/>
      <c r="AC97" s="86"/>
      <c r="AD97" s="86"/>
    </row>
    <row r="98" ht="15.75" customHeight="1">
      <c r="A98" s="86">
        <v>1934.0</v>
      </c>
      <c r="B98" s="120" t="s">
        <v>45</v>
      </c>
      <c r="C98" s="88" t="s">
        <v>42</v>
      </c>
      <c r="D98" s="100" t="s">
        <v>42</v>
      </c>
      <c r="E98" s="108" t="s">
        <v>42</v>
      </c>
      <c r="F98" s="100" t="s">
        <v>42</v>
      </c>
      <c r="G98" s="108" t="s">
        <v>42</v>
      </c>
      <c r="H98" s="108"/>
      <c r="I98" s="83">
        <f t="shared" si="1"/>
        <v>0</v>
      </c>
      <c r="J98" s="122"/>
      <c r="K98" s="86"/>
      <c r="L98" s="86"/>
      <c r="M98" s="86"/>
      <c r="N98" s="86"/>
      <c r="O98" s="86"/>
      <c r="P98" s="86"/>
      <c r="Q98" s="86"/>
      <c r="R98" s="86"/>
      <c r="S98" s="86"/>
      <c r="T98" s="86"/>
      <c r="U98" s="86"/>
      <c r="V98" s="86"/>
      <c r="W98" s="86"/>
      <c r="X98" s="86"/>
      <c r="Y98" s="86"/>
      <c r="Z98" s="86"/>
      <c r="AA98" s="86"/>
      <c r="AB98" s="86"/>
      <c r="AC98" s="86"/>
      <c r="AD98" s="86"/>
    </row>
    <row r="99" ht="15.75" customHeight="1">
      <c r="A99" s="86">
        <v>1933.0</v>
      </c>
      <c r="B99" s="120" t="s">
        <v>45</v>
      </c>
      <c r="C99" s="90"/>
      <c r="D99" s="85"/>
      <c r="E99" s="89"/>
      <c r="F99" s="85"/>
      <c r="G99" s="89"/>
      <c r="H99" s="90"/>
      <c r="I99" s="90"/>
      <c r="J99" s="122"/>
      <c r="K99" s="86"/>
      <c r="L99" s="86"/>
      <c r="M99" s="86"/>
      <c r="N99" s="86"/>
      <c r="O99" s="86"/>
      <c r="P99" s="86"/>
      <c r="Q99" s="86"/>
      <c r="R99" s="86"/>
      <c r="S99" s="86"/>
      <c r="T99" s="86"/>
      <c r="U99" s="86"/>
      <c r="V99" s="86"/>
      <c r="W99" s="86"/>
      <c r="X99" s="86"/>
      <c r="Y99" s="86"/>
      <c r="Z99" s="86"/>
      <c r="AA99" s="86"/>
      <c r="AB99" s="86"/>
      <c r="AC99" s="86"/>
      <c r="AD99" s="86"/>
    </row>
    <row r="100" ht="15.75" customHeight="1">
      <c r="A100" s="86">
        <v>1932.0</v>
      </c>
      <c r="B100" s="120" t="s">
        <v>46</v>
      </c>
      <c r="C100" s="90"/>
      <c r="D100" s="85"/>
      <c r="E100" s="89"/>
      <c r="F100" s="85"/>
      <c r="G100" s="89"/>
      <c r="H100" s="90"/>
      <c r="I100" s="90"/>
      <c r="J100" s="122"/>
      <c r="K100" s="86"/>
      <c r="L100" s="86"/>
      <c r="M100" s="86"/>
      <c r="N100" s="86"/>
      <c r="O100" s="86"/>
      <c r="P100" s="86"/>
      <c r="Q100" s="86"/>
      <c r="R100" s="86"/>
      <c r="S100" s="86"/>
      <c r="T100" s="86"/>
      <c r="U100" s="86"/>
      <c r="V100" s="86"/>
      <c r="W100" s="86"/>
      <c r="X100" s="86"/>
      <c r="Y100" s="86"/>
      <c r="Z100" s="86"/>
      <c r="AA100" s="86"/>
      <c r="AB100" s="86"/>
      <c r="AC100" s="86"/>
      <c r="AD100" s="86"/>
    </row>
    <row r="101" ht="15.75" customHeight="1">
      <c r="A101" s="86">
        <v>1931.0</v>
      </c>
      <c r="B101" s="120" t="s">
        <v>46</v>
      </c>
      <c r="C101" s="90"/>
      <c r="D101" s="85"/>
      <c r="E101" s="89"/>
      <c r="F101" s="85"/>
      <c r="G101" s="89"/>
      <c r="H101" s="90"/>
      <c r="I101" s="90"/>
      <c r="J101" s="122"/>
      <c r="K101" s="86"/>
      <c r="L101" s="86"/>
      <c r="M101" s="86"/>
      <c r="N101" s="86"/>
      <c r="O101" s="86"/>
      <c r="P101" s="86"/>
      <c r="Q101" s="86"/>
      <c r="R101" s="86"/>
      <c r="S101" s="86"/>
      <c r="T101" s="86"/>
      <c r="U101" s="86"/>
      <c r="V101" s="86"/>
      <c r="W101" s="86"/>
      <c r="X101" s="86"/>
      <c r="Y101" s="86"/>
      <c r="Z101" s="86"/>
      <c r="AA101" s="86"/>
      <c r="AB101" s="86"/>
      <c r="AC101" s="86"/>
      <c r="AD101" s="86"/>
    </row>
    <row r="102" ht="15.75" customHeight="1">
      <c r="A102" s="86">
        <v>1930.0</v>
      </c>
      <c r="B102" s="120" t="s">
        <v>46</v>
      </c>
      <c r="C102" s="90"/>
      <c r="D102" s="85"/>
      <c r="E102" s="89"/>
      <c r="F102" s="85"/>
      <c r="G102" s="89"/>
      <c r="H102" s="90"/>
      <c r="I102" s="90"/>
      <c r="J102" s="122"/>
      <c r="K102" s="86"/>
      <c r="L102" s="86"/>
      <c r="M102" s="86"/>
      <c r="N102" s="86"/>
      <c r="O102" s="86"/>
      <c r="P102" s="86"/>
      <c r="Q102" s="86"/>
      <c r="R102" s="86"/>
      <c r="S102" s="86"/>
      <c r="T102" s="86"/>
      <c r="U102" s="86"/>
      <c r="V102" s="86"/>
      <c r="W102" s="86"/>
      <c r="X102" s="86"/>
      <c r="Y102" s="86"/>
      <c r="Z102" s="86"/>
      <c r="AA102" s="86"/>
      <c r="AB102" s="86"/>
      <c r="AC102" s="86"/>
      <c r="AD102" s="86"/>
    </row>
    <row r="103" ht="15.75" customHeight="1">
      <c r="A103" s="86">
        <v>1929.0</v>
      </c>
      <c r="B103" s="120" t="s">
        <v>46</v>
      </c>
      <c r="C103" s="90"/>
      <c r="D103" s="85"/>
      <c r="E103" s="89"/>
      <c r="F103" s="85"/>
      <c r="G103" s="89"/>
      <c r="H103" s="90"/>
      <c r="I103" s="90"/>
      <c r="J103" s="122"/>
      <c r="K103" s="86"/>
      <c r="L103" s="86"/>
      <c r="M103" s="86"/>
      <c r="N103" s="86"/>
      <c r="O103" s="86"/>
      <c r="P103" s="86"/>
      <c r="Q103" s="86"/>
      <c r="R103" s="86"/>
      <c r="S103" s="86"/>
      <c r="T103" s="86"/>
      <c r="U103" s="86"/>
      <c r="V103" s="86"/>
      <c r="W103" s="86"/>
      <c r="X103" s="86"/>
      <c r="Y103" s="86"/>
      <c r="Z103" s="86"/>
      <c r="AA103" s="86"/>
      <c r="AB103" s="86"/>
      <c r="AC103" s="86"/>
      <c r="AD103" s="86"/>
    </row>
    <row r="104" ht="15.75" customHeight="1">
      <c r="A104" s="86">
        <v>1928.0</v>
      </c>
      <c r="B104" s="120" t="s">
        <v>47</v>
      </c>
      <c r="C104" s="90"/>
      <c r="D104" s="85"/>
      <c r="E104" s="89"/>
      <c r="F104" s="85"/>
      <c r="G104" s="89"/>
      <c r="H104" s="90"/>
      <c r="I104" s="90"/>
      <c r="J104" s="122"/>
      <c r="K104" s="86"/>
      <c r="L104" s="86"/>
      <c r="M104" s="86"/>
      <c r="N104" s="86"/>
      <c r="O104" s="86"/>
      <c r="P104" s="86"/>
      <c r="Q104" s="86"/>
      <c r="R104" s="86"/>
      <c r="S104" s="86"/>
      <c r="T104" s="86"/>
      <c r="U104" s="86"/>
      <c r="V104" s="86"/>
      <c r="W104" s="86"/>
      <c r="X104" s="86"/>
      <c r="Y104" s="86"/>
      <c r="Z104" s="86"/>
      <c r="AA104" s="86"/>
      <c r="AB104" s="86"/>
      <c r="AC104" s="86"/>
      <c r="AD104" s="86"/>
    </row>
    <row r="105" ht="15.75" customHeight="1">
      <c r="A105" s="86">
        <v>1927.0</v>
      </c>
      <c r="B105" s="120" t="s">
        <v>47</v>
      </c>
      <c r="C105" s="90"/>
      <c r="D105" s="85"/>
      <c r="E105" s="89"/>
      <c r="F105" s="85"/>
      <c r="G105" s="89"/>
      <c r="H105" s="90"/>
      <c r="I105" s="90"/>
      <c r="J105" s="122"/>
      <c r="K105" s="86"/>
      <c r="L105" s="86"/>
      <c r="M105" s="86"/>
      <c r="N105" s="86"/>
      <c r="O105" s="86"/>
      <c r="P105" s="86"/>
      <c r="Q105" s="86"/>
      <c r="R105" s="86"/>
      <c r="S105" s="86"/>
      <c r="T105" s="86"/>
      <c r="U105" s="86"/>
      <c r="V105" s="86"/>
      <c r="W105" s="86"/>
      <c r="X105" s="86"/>
      <c r="Y105" s="86"/>
      <c r="Z105" s="86"/>
      <c r="AA105" s="86"/>
      <c r="AB105" s="86"/>
      <c r="AC105" s="86"/>
      <c r="AD105" s="86"/>
    </row>
    <row r="106" ht="15.75" customHeight="1">
      <c r="A106" s="86">
        <v>1926.0</v>
      </c>
      <c r="B106" s="120" t="s">
        <v>47</v>
      </c>
      <c r="C106" s="90"/>
      <c r="D106" s="85"/>
      <c r="E106" s="89"/>
      <c r="F106" s="85"/>
      <c r="G106" s="89"/>
      <c r="H106" s="90"/>
      <c r="I106" s="90"/>
      <c r="J106" s="122"/>
      <c r="K106" s="86"/>
      <c r="L106" s="86"/>
      <c r="M106" s="86"/>
      <c r="N106" s="86"/>
      <c r="O106" s="86"/>
      <c r="P106" s="86"/>
      <c r="Q106" s="86"/>
      <c r="R106" s="86"/>
      <c r="S106" s="86"/>
      <c r="T106" s="86"/>
      <c r="U106" s="86"/>
      <c r="V106" s="86"/>
      <c r="W106" s="86"/>
      <c r="X106" s="86"/>
      <c r="Y106" s="86"/>
      <c r="Z106" s="86"/>
      <c r="AA106" s="86"/>
      <c r="AB106" s="86"/>
      <c r="AC106" s="86"/>
      <c r="AD106" s="86"/>
    </row>
    <row r="107" ht="15.75" customHeight="1">
      <c r="A107" s="86">
        <v>1925.0</v>
      </c>
      <c r="B107" s="120" t="s">
        <v>47</v>
      </c>
      <c r="C107" s="90"/>
      <c r="D107" s="85"/>
      <c r="E107" s="89"/>
      <c r="F107" s="85"/>
      <c r="G107" s="89"/>
      <c r="H107" s="90"/>
      <c r="I107" s="90"/>
      <c r="J107" s="122"/>
      <c r="K107" s="86"/>
      <c r="L107" s="86"/>
      <c r="M107" s="86"/>
      <c r="N107" s="86"/>
      <c r="O107" s="86"/>
      <c r="P107" s="86"/>
      <c r="Q107" s="86"/>
      <c r="R107" s="86"/>
      <c r="S107" s="86"/>
      <c r="T107" s="86"/>
      <c r="U107" s="86"/>
      <c r="V107" s="86"/>
      <c r="W107" s="86"/>
      <c r="X107" s="86"/>
      <c r="Y107" s="86"/>
      <c r="Z107" s="86"/>
      <c r="AA107" s="86"/>
      <c r="AB107" s="86"/>
      <c r="AC107" s="86"/>
      <c r="AD107" s="86"/>
    </row>
    <row r="108" ht="15.75" customHeight="1">
      <c r="A108" s="86">
        <v>1924.0</v>
      </c>
      <c r="B108" s="120" t="s">
        <v>47</v>
      </c>
      <c r="C108" s="90"/>
      <c r="D108" s="85"/>
      <c r="E108" s="89"/>
      <c r="F108" s="85"/>
      <c r="G108" s="89"/>
      <c r="H108" s="90"/>
      <c r="I108" s="90"/>
      <c r="J108" s="122"/>
      <c r="K108" s="86"/>
      <c r="L108" s="86"/>
      <c r="M108" s="86"/>
      <c r="N108" s="86"/>
      <c r="O108" s="86"/>
      <c r="P108" s="86"/>
      <c r="Q108" s="86"/>
      <c r="R108" s="86"/>
      <c r="S108" s="86"/>
      <c r="T108" s="86"/>
      <c r="U108" s="86"/>
      <c r="V108" s="86"/>
      <c r="W108" s="86"/>
      <c r="X108" s="86"/>
      <c r="Y108" s="86"/>
      <c r="Z108" s="86"/>
      <c r="AA108" s="86"/>
      <c r="AB108" s="86"/>
      <c r="AC108" s="86"/>
      <c r="AD108" s="86"/>
    </row>
    <row r="109" ht="15.75" customHeight="1">
      <c r="A109" s="86">
        <v>1923.0</v>
      </c>
      <c r="B109" s="120" t="s">
        <v>47</v>
      </c>
      <c r="C109" s="90"/>
      <c r="D109" s="85"/>
      <c r="E109" s="89"/>
      <c r="F109" s="85"/>
      <c r="G109" s="89"/>
      <c r="H109" s="90"/>
      <c r="I109" s="90"/>
      <c r="J109" s="122"/>
      <c r="K109" s="86"/>
      <c r="L109" s="86"/>
      <c r="M109" s="86"/>
      <c r="N109" s="86"/>
      <c r="O109" s="86"/>
      <c r="P109" s="86"/>
      <c r="Q109" s="86"/>
      <c r="R109" s="86"/>
      <c r="S109" s="86"/>
      <c r="T109" s="86"/>
      <c r="U109" s="86"/>
      <c r="V109" s="86"/>
      <c r="W109" s="86"/>
      <c r="X109" s="86"/>
      <c r="Y109" s="86"/>
      <c r="Z109" s="86"/>
      <c r="AA109" s="86"/>
      <c r="AB109" s="86"/>
      <c r="AC109" s="86"/>
      <c r="AD109" s="86"/>
    </row>
    <row r="110" ht="15.75" customHeight="1">
      <c r="A110" s="86">
        <v>1922.0</v>
      </c>
      <c r="B110" s="123" t="s">
        <v>48</v>
      </c>
      <c r="C110" s="124"/>
      <c r="D110" s="125"/>
      <c r="E110" s="126"/>
      <c r="F110" s="125"/>
      <c r="G110" s="126"/>
      <c r="H110" s="124"/>
      <c r="I110" s="124"/>
      <c r="J110" s="127"/>
      <c r="K110" s="128"/>
      <c r="L110" s="128"/>
      <c r="M110" s="128"/>
      <c r="N110" s="128"/>
      <c r="O110" s="128"/>
      <c r="P110" s="128"/>
      <c r="Q110" s="128"/>
      <c r="R110" s="128"/>
      <c r="S110" s="128"/>
      <c r="T110" s="128"/>
      <c r="U110" s="128"/>
      <c r="V110" s="128"/>
      <c r="W110" s="128"/>
      <c r="X110" s="128"/>
      <c r="Y110" s="128"/>
      <c r="Z110" s="128"/>
      <c r="AA110" s="128"/>
      <c r="AB110" s="128"/>
      <c r="AC110" s="128"/>
      <c r="AD110" s="128"/>
    </row>
    <row r="111" ht="15.75" customHeight="1">
      <c r="A111" s="86">
        <v>1921.0</v>
      </c>
      <c r="B111" s="123" t="s">
        <v>48</v>
      </c>
      <c r="C111" s="124"/>
      <c r="D111" s="125"/>
      <c r="E111" s="126"/>
      <c r="F111" s="125"/>
      <c r="G111" s="126"/>
      <c r="H111" s="124"/>
      <c r="I111" s="124"/>
      <c r="J111" s="127"/>
      <c r="K111" s="128"/>
      <c r="L111" s="128"/>
      <c r="M111" s="128"/>
      <c r="N111" s="128"/>
      <c r="O111" s="128"/>
      <c r="P111" s="128"/>
      <c r="Q111" s="128"/>
      <c r="R111" s="128"/>
      <c r="S111" s="128"/>
      <c r="T111" s="128"/>
      <c r="U111" s="128"/>
      <c r="V111" s="128"/>
      <c r="W111" s="128"/>
      <c r="X111" s="128"/>
      <c r="Y111" s="128"/>
      <c r="Z111" s="128"/>
      <c r="AA111" s="128"/>
      <c r="AB111" s="128"/>
      <c r="AC111" s="128"/>
      <c r="AD111" s="128"/>
    </row>
    <row r="112" ht="15.75" customHeight="1">
      <c r="A112" s="86">
        <v>1920.0</v>
      </c>
      <c r="B112" s="123" t="s">
        <v>48</v>
      </c>
      <c r="C112" s="124"/>
      <c r="D112" s="125"/>
      <c r="E112" s="126"/>
      <c r="F112" s="125"/>
      <c r="G112" s="126"/>
      <c r="H112" s="124"/>
      <c r="I112" s="124"/>
      <c r="J112" s="127"/>
      <c r="K112" s="128"/>
      <c r="L112" s="128"/>
      <c r="M112" s="128"/>
      <c r="N112" s="128"/>
      <c r="O112" s="128"/>
      <c r="P112" s="128"/>
      <c r="Q112" s="128"/>
      <c r="R112" s="128"/>
      <c r="S112" s="128"/>
      <c r="T112" s="128"/>
      <c r="U112" s="128"/>
      <c r="V112" s="128"/>
      <c r="W112" s="128"/>
      <c r="X112" s="128"/>
      <c r="Y112" s="128"/>
      <c r="Z112" s="128"/>
      <c r="AA112" s="128"/>
      <c r="AB112" s="128"/>
      <c r="AC112" s="128"/>
      <c r="AD112" s="128"/>
    </row>
    <row r="113" ht="15.75" customHeight="1">
      <c r="A113" s="86">
        <v>1919.0</v>
      </c>
      <c r="B113" s="123" t="s">
        <v>48</v>
      </c>
      <c r="C113" s="124"/>
      <c r="D113" s="125"/>
      <c r="E113" s="126"/>
      <c r="F113" s="125"/>
      <c r="G113" s="126"/>
      <c r="H113" s="124"/>
      <c r="I113" s="124"/>
      <c r="J113" s="127"/>
      <c r="K113" s="128"/>
      <c r="L113" s="128"/>
      <c r="M113" s="128"/>
      <c r="N113" s="128"/>
      <c r="O113" s="128"/>
      <c r="P113" s="128"/>
      <c r="Q113" s="128"/>
      <c r="R113" s="128"/>
      <c r="S113" s="128"/>
      <c r="T113" s="128"/>
      <c r="U113" s="128"/>
      <c r="V113" s="128"/>
      <c r="W113" s="128"/>
      <c r="X113" s="128"/>
      <c r="Y113" s="128"/>
      <c r="Z113" s="128"/>
      <c r="AA113" s="128"/>
      <c r="AB113" s="128"/>
      <c r="AC113" s="128"/>
      <c r="AD113" s="128"/>
    </row>
    <row r="114" ht="15.75" customHeight="1">
      <c r="A114" s="86">
        <v>1918.0</v>
      </c>
      <c r="B114" s="123" t="s">
        <v>48</v>
      </c>
      <c r="C114" s="124"/>
      <c r="D114" s="125"/>
      <c r="E114" s="126"/>
      <c r="F114" s="125"/>
      <c r="G114" s="126"/>
      <c r="H114" s="124"/>
      <c r="I114" s="124"/>
      <c r="J114" s="127"/>
      <c r="K114" s="128"/>
      <c r="L114" s="128"/>
      <c r="M114" s="128"/>
      <c r="N114" s="128"/>
      <c r="O114" s="128"/>
      <c r="P114" s="128"/>
      <c r="Q114" s="128"/>
      <c r="R114" s="128"/>
      <c r="S114" s="128"/>
      <c r="T114" s="128"/>
      <c r="U114" s="128"/>
      <c r="V114" s="128"/>
      <c r="W114" s="128"/>
      <c r="X114" s="128"/>
      <c r="Y114" s="128"/>
      <c r="Z114" s="128"/>
      <c r="AA114" s="128"/>
      <c r="AB114" s="128"/>
      <c r="AC114" s="128"/>
      <c r="AD114" s="128"/>
    </row>
    <row r="115" ht="15.75" customHeight="1">
      <c r="A115" s="86">
        <v>1917.0</v>
      </c>
      <c r="B115" s="123" t="s">
        <v>48</v>
      </c>
      <c r="C115" s="124"/>
      <c r="D115" s="125"/>
      <c r="E115" s="126"/>
      <c r="F115" s="125"/>
      <c r="G115" s="126"/>
      <c r="H115" s="124"/>
      <c r="I115" s="124"/>
      <c r="J115" s="127"/>
      <c r="K115" s="128"/>
      <c r="L115" s="128"/>
      <c r="M115" s="128"/>
      <c r="N115" s="128"/>
      <c r="O115" s="128"/>
      <c r="P115" s="128"/>
      <c r="Q115" s="128"/>
      <c r="R115" s="128"/>
      <c r="S115" s="128"/>
      <c r="T115" s="128"/>
      <c r="U115" s="128"/>
      <c r="V115" s="128"/>
      <c r="W115" s="128"/>
      <c r="X115" s="128"/>
      <c r="Y115" s="128"/>
      <c r="Z115" s="128"/>
      <c r="AA115" s="128"/>
      <c r="AB115" s="128"/>
      <c r="AC115" s="128"/>
      <c r="AD115" s="128"/>
    </row>
    <row r="116" ht="15.75" customHeight="1">
      <c r="A116" s="86">
        <v>1916.0</v>
      </c>
      <c r="B116" s="123" t="s">
        <v>48</v>
      </c>
      <c r="C116" s="124"/>
      <c r="D116" s="125"/>
      <c r="E116" s="126"/>
      <c r="F116" s="125"/>
      <c r="G116" s="126"/>
      <c r="H116" s="124"/>
      <c r="I116" s="124"/>
      <c r="J116" s="127"/>
      <c r="K116" s="128"/>
      <c r="L116" s="128"/>
      <c r="M116" s="128"/>
      <c r="N116" s="128"/>
      <c r="O116" s="128"/>
      <c r="P116" s="128"/>
      <c r="Q116" s="128"/>
      <c r="R116" s="128"/>
      <c r="S116" s="128"/>
      <c r="T116" s="128"/>
      <c r="U116" s="128"/>
      <c r="V116" s="128"/>
      <c r="W116" s="128"/>
      <c r="X116" s="128"/>
      <c r="Y116" s="128"/>
      <c r="Z116" s="128"/>
      <c r="AA116" s="128"/>
      <c r="AB116" s="128"/>
      <c r="AC116" s="128"/>
      <c r="AD116" s="128"/>
    </row>
    <row r="117" ht="15.75" customHeight="1">
      <c r="A117" s="86">
        <v>1915.0</v>
      </c>
      <c r="B117" s="123" t="s">
        <v>48</v>
      </c>
      <c r="C117" s="124"/>
      <c r="D117" s="125"/>
      <c r="E117" s="126"/>
      <c r="F117" s="125"/>
      <c r="G117" s="126"/>
      <c r="H117" s="124"/>
      <c r="I117" s="124"/>
      <c r="J117" s="127"/>
      <c r="K117" s="128"/>
      <c r="L117" s="128"/>
      <c r="M117" s="128"/>
      <c r="N117" s="128"/>
      <c r="O117" s="128"/>
      <c r="P117" s="128"/>
      <c r="Q117" s="128"/>
      <c r="R117" s="128"/>
      <c r="S117" s="128"/>
      <c r="T117" s="128"/>
      <c r="U117" s="128"/>
      <c r="V117" s="128"/>
      <c r="W117" s="128"/>
      <c r="X117" s="128"/>
      <c r="Y117" s="128"/>
      <c r="Z117" s="128"/>
      <c r="AA117" s="128"/>
      <c r="AB117" s="128"/>
      <c r="AC117" s="128"/>
      <c r="AD117" s="128"/>
    </row>
    <row r="118" ht="15.75" customHeight="1">
      <c r="A118" s="86">
        <v>1914.0</v>
      </c>
      <c r="B118" s="123" t="s">
        <v>49</v>
      </c>
      <c r="C118" s="124"/>
      <c r="D118" s="125"/>
      <c r="E118" s="126"/>
      <c r="F118" s="125"/>
      <c r="G118" s="126"/>
      <c r="H118" s="124"/>
      <c r="I118" s="124"/>
      <c r="J118" s="127"/>
      <c r="K118" s="128"/>
      <c r="L118" s="128"/>
      <c r="M118" s="128"/>
      <c r="N118" s="128"/>
      <c r="O118" s="128"/>
      <c r="P118" s="128"/>
      <c r="Q118" s="128"/>
      <c r="R118" s="128"/>
      <c r="S118" s="128"/>
      <c r="T118" s="128"/>
      <c r="U118" s="128"/>
      <c r="V118" s="128"/>
      <c r="W118" s="128"/>
      <c r="X118" s="128"/>
      <c r="Y118" s="128"/>
      <c r="Z118" s="128"/>
      <c r="AA118" s="128"/>
      <c r="AB118" s="128"/>
      <c r="AC118" s="128"/>
      <c r="AD118" s="128"/>
    </row>
    <row r="119" ht="15.75" customHeight="1">
      <c r="A119" s="86">
        <v>1913.0</v>
      </c>
      <c r="B119" s="123" t="s">
        <v>49</v>
      </c>
      <c r="C119" s="124"/>
      <c r="D119" s="125"/>
      <c r="E119" s="126"/>
      <c r="F119" s="125"/>
      <c r="G119" s="126"/>
      <c r="H119" s="124"/>
      <c r="I119" s="124"/>
      <c r="J119" s="127"/>
      <c r="K119" s="128"/>
      <c r="L119" s="128"/>
      <c r="M119" s="128"/>
      <c r="N119" s="128"/>
      <c r="O119" s="128"/>
      <c r="P119" s="128"/>
      <c r="Q119" s="128"/>
      <c r="R119" s="128"/>
      <c r="S119" s="128"/>
      <c r="T119" s="128"/>
      <c r="U119" s="128"/>
      <c r="V119" s="128"/>
      <c r="W119" s="128"/>
      <c r="X119" s="128"/>
      <c r="Y119" s="128"/>
      <c r="Z119" s="128"/>
      <c r="AA119" s="128"/>
      <c r="AB119" s="128"/>
      <c r="AC119" s="128"/>
      <c r="AD119" s="128"/>
    </row>
    <row r="120" ht="15.75" customHeight="1">
      <c r="A120" s="86">
        <v>1912.0</v>
      </c>
      <c r="B120" s="123" t="s">
        <v>50</v>
      </c>
      <c r="C120" s="124"/>
      <c r="D120" s="125"/>
      <c r="E120" s="126"/>
      <c r="F120" s="125"/>
      <c r="G120" s="126"/>
      <c r="H120" s="124"/>
      <c r="I120" s="124"/>
      <c r="J120" s="127"/>
      <c r="K120" s="128"/>
      <c r="L120" s="128"/>
      <c r="M120" s="128"/>
      <c r="N120" s="128"/>
      <c r="O120" s="128"/>
      <c r="P120" s="128"/>
      <c r="Q120" s="128"/>
      <c r="R120" s="128"/>
      <c r="S120" s="128"/>
      <c r="T120" s="128"/>
      <c r="U120" s="128"/>
      <c r="V120" s="128"/>
      <c r="W120" s="128"/>
      <c r="X120" s="128"/>
      <c r="Y120" s="128"/>
      <c r="Z120" s="128"/>
      <c r="AA120" s="128"/>
      <c r="AB120" s="128"/>
      <c r="AC120" s="128"/>
      <c r="AD120" s="128"/>
    </row>
    <row r="121" ht="15.75" customHeight="1">
      <c r="A121" s="86">
        <v>1911.0</v>
      </c>
      <c r="B121" s="123" t="s">
        <v>50</v>
      </c>
      <c r="C121" s="124"/>
      <c r="D121" s="125"/>
      <c r="E121" s="126"/>
      <c r="F121" s="125"/>
      <c r="G121" s="126"/>
      <c r="H121" s="124"/>
      <c r="I121" s="124"/>
      <c r="J121" s="127"/>
      <c r="K121" s="128"/>
      <c r="L121" s="128"/>
      <c r="M121" s="128"/>
      <c r="N121" s="128"/>
      <c r="O121" s="128"/>
      <c r="P121" s="128"/>
      <c r="Q121" s="128"/>
      <c r="R121" s="128"/>
      <c r="S121" s="128"/>
      <c r="T121" s="128"/>
      <c r="U121" s="128"/>
      <c r="V121" s="128"/>
      <c r="W121" s="128"/>
      <c r="X121" s="128"/>
      <c r="Y121" s="128"/>
      <c r="Z121" s="128"/>
      <c r="AA121" s="128"/>
      <c r="AB121" s="128"/>
      <c r="AC121" s="128"/>
      <c r="AD121" s="128"/>
    </row>
    <row r="122" ht="15.75" customHeight="1">
      <c r="A122" s="86">
        <v>1910.0</v>
      </c>
      <c r="B122" s="123" t="s">
        <v>51</v>
      </c>
      <c r="C122" s="124"/>
      <c r="D122" s="125"/>
      <c r="E122" s="126"/>
      <c r="F122" s="125"/>
      <c r="G122" s="126"/>
      <c r="H122" s="124"/>
      <c r="I122" s="124"/>
      <c r="J122" s="127"/>
      <c r="K122" s="128"/>
      <c r="L122" s="128"/>
      <c r="M122" s="128"/>
      <c r="N122" s="128"/>
      <c r="O122" s="128"/>
      <c r="P122" s="128"/>
      <c r="Q122" s="128"/>
      <c r="R122" s="128"/>
      <c r="S122" s="128"/>
      <c r="T122" s="128"/>
      <c r="U122" s="128"/>
      <c r="V122" s="128"/>
      <c r="W122" s="128"/>
      <c r="X122" s="128"/>
      <c r="Y122" s="128"/>
      <c r="Z122" s="128"/>
      <c r="AA122" s="128"/>
      <c r="AB122" s="128"/>
      <c r="AC122" s="128"/>
      <c r="AD122" s="128"/>
    </row>
    <row r="123" ht="15.75" customHeight="1">
      <c r="A123" s="121">
        <v>1910.0</v>
      </c>
      <c r="B123" s="123" t="s">
        <v>52</v>
      </c>
      <c r="C123" s="124"/>
      <c r="D123" s="125"/>
      <c r="E123" s="126"/>
      <c r="F123" s="125"/>
      <c r="G123" s="126"/>
      <c r="H123" s="124"/>
      <c r="I123" s="124"/>
      <c r="J123" s="127"/>
      <c r="K123" s="128"/>
      <c r="L123" s="128"/>
      <c r="M123" s="128"/>
      <c r="N123" s="128"/>
      <c r="O123" s="128"/>
      <c r="P123" s="128"/>
      <c r="Q123" s="128"/>
      <c r="R123" s="128"/>
      <c r="S123" s="128"/>
      <c r="T123" s="128"/>
      <c r="U123" s="128"/>
      <c r="V123" s="128"/>
      <c r="W123" s="128"/>
      <c r="X123" s="128"/>
      <c r="Y123" s="128"/>
      <c r="Z123" s="128"/>
      <c r="AA123" s="128"/>
      <c r="AB123" s="128"/>
      <c r="AC123" s="128"/>
      <c r="AD123" s="128"/>
    </row>
    <row r="124" ht="15.75" customHeight="1">
      <c r="A124" s="86">
        <v>1909.0</v>
      </c>
      <c r="B124" s="123" t="s">
        <v>52</v>
      </c>
      <c r="C124" s="124"/>
      <c r="D124" s="125"/>
      <c r="E124" s="126"/>
      <c r="F124" s="125"/>
      <c r="G124" s="126"/>
      <c r="H124" s="124"/>
      <c r="I124" s="124"/>
      <c r="J124" s="127"/>
      <c r="K124" s="128"/>
      <c r="L124" s="128"/>
      <c r="M124" s="128"/>
      <c r="N124" s="128"/>
      <c r="O124" s="128"/>
      <c r="P124" s="128"/>
      <c r="Q124" s="128"/>
      <c r="R124" s="128"/>
      <c r="S124" s="128"/>
      <c r="T124" s="128"/>
      <c r="U124" s="128"/>
      <c r="V124" s="128"/>
      <c r="W124" s="128"/>
      <c r="X124" s="128"/>
      <c r="Y124" s="128"/>
      <c r="Z124" s="128"/>
      <c r="AA124" s="128"/>
      <c r="AB124" s="128"/>
      <c r="AC124" s="128"/>
      <c r="AD124" s="128"/>
    </row>
    <row r="125" ht="15.75" customHeight="1">
      <c r="A125" s="86">
        <v>1908.0</v>
      </c>
      <c r="B125" s="123" t="s">
        <v>52</v>
      </c>
      <c r="C125" s="124"/>
      <c r="D125" s="125"/>
      <c r="E125" s="126"/>
      <c r="F125" s="125"/>
      <c r="G125" s="126"/>
      <c r="H125" s="124"/>
      <c r="I125" s="124"/>
      <c r="J125" s="127"/>
      <c r="K125" s="128"/>
      <c r="L125" s="128"/>
      <c r="M125" s="128"/>
      <c r="N125" s="128"/>
      <c r="O125" s="128"/>
      <c r="P125" s="128"/>
      <c r="Q125" s="128"/>
      <c r="R125" s="128"/>
      <c r="S125" s="128"/>
      <c r="T125" s="128"/>
      <c r="U125" s="128"/>
      <c r="V125" s="128"/>
      <c r="W125" s="128"/>
      <c r="X125" s="128"/>
      <c r="Y125" s="128"/>
      <c r="Z125" s="128"/>
      <c r="AA125" s="128"/>
      <c r="AB125" s="128"/>
      <c r="AC125" s="128"/>
      <c r="AD125" s="128"/>
    </row>
    <row r="126" ht="15.75" customHeight="1">
      <c r="A126" s="86">
        <v>1907.0</v>
      </c>
      <c r="B126" s="123" t="s">
        <v>53</v>
      </c>
      <c r="C126" s="124"/>
      <c r="D126" s="125"/>
      <c r="E126" s="126"/>
      <c r="F126" s="125"/>
      <c r="G126" s="126"/>
      <c r="H126" s="124"/>
      <c r="I126" s="124"/>
      <c r="J126" s="127"/>
      <c r="K126" s="128"/>
      <c r="L126" s="128"/>
      <c r="M126" s="128"/>
      <c r="N126" s="128"/>
      <c r="O126" s="128"/>
      <c r="P126" s="128"/>
      <c r="Q126" s="128"/>
      <c r="R126" s="128"/>
      <c r="S126" s="128"/>
      <c r="T126" s="128"/>
      <c r="U126" s="128"/>
      <c r="V126" s="128"/>
      <c r="W126" s="128"/>
      <c r="X126" s="128"/>
      <c r="Y126" s="128"/>
      <c r="Z126" s="128"/>
      <c r="AA126" s="128"/>
      <c r="AB126" s="128"/>
      <c r="AC126" s="128"/>
      <c r="AD126" s="128"/>
    </row>
    <row r="127" ht="15.75" customHeight="1">
      <c r="A127" s="86">
        <v>1906.0</v>
      </c>
      <c r="B127" s="123" t="s">
        <v>53</v>
      </c>
      <c r="C127" s="124"/>
      <c r="D127" s="125"/>
      <c r="E127" s="126"/>
      <c r="F127" s="125"/>
      <c r="G127" s="126"/>
      <c r="H127" s="124"/>
      <c r="I127" s="124"/>
      <c r="J127" s="127"/>
      <c r="K127" s="128"/>
      <c r="L127" s="128"/>
      <c r="M127" s="128"/>
      <c r="N127" s="128"/>
      <c r="O127" s="128"/>
      <c r="P127" s="128"/>
      <c r="Q127" s="128"/>
      <c r="R127" s="128"/>
      <c r="S127" s="128"/>
      <c r="T127" s="128"/>
      <c r="U127" s="128"/>
      <c r="V127" s="128"/>
      <c r="W127" s="128"/>
      <c r="X127" s="128"/>
      <c r="Y127" s="128"/>
      <c r="Z127" s="128"/>
      <c r="AA127" s="128"/>
      <c r="AB127" s="128"/>
      <c r="AC127" s="128"/>
      <c r="AD127" s="128"/>
    </row>
    <row r="128" ht="15.75" customHeight="1">
      <c r="A128" s="86">
        <v>1905.0</v>
      </c>
      <c r="B128" s="123" t="s">
        <v>54</v>
      </c>
      <c r="C128" s="124"/>
      <c r="D128" s="125"/>
      <c r="E128" s="126"/>
      <c r="F128" s="125"/>
      <c r="G128" s="126"/>
      <c r="H128" s="124"/>
      <c r="I128" s="124"/>
      <c r="J128" s="127"/>
      <c r="K128" s="128"/>
      <c r="L128" s="128"/>
      <c r="M128" s="128"/>
      <c r="N128" s="128"/>
      <c r="O128" s="128"/>
      <c r="P128" s="128"/>
      <c r="Q128" s="128"/>
      <c r="R128" s="128"/>
      <c r="S128" s="128"/>
      <c r="T128" s="128"/>
      <c r="U128" s="128"/>
      <c r="V128" s="128"/>
      <c r="W128" s="128"/>
      <c r="X128" s="128"/>
      <c r="Y128" s="128"/>
      <c r="Z128" s="128"/>
      <c r="AA128" s="128"/>
      <c r="AB128" s="128"/>
      <c r="AC128" s="128"/>
      <c r="AD128" s="128"/>
    </row>
    <row r="129" ht="15.75" customHeight="1">
      <c r="A129" s="86">
        <v>1904.0</v>
      </c>
      <c r="B129" s="123" t="s">
        <v>54</v>
      </c>
      <c r="C129" s="124"/>
      <c r="D129" s="125"/>
      <c r="E129" s="126"/>
      <c r="F129" s="125"/>
      <c r="G129" s="126"/>
      <c r="H129" s="124"/>
      <c r="I129" s="124"/>
      <c r="J129" s="127"/>
      <c r="K129" s="128"/>
      <c r="L129" s="128"/>
      <c r="M129" s="128"/>
      <c r="N129" s="128"/>
      <c r="O129" s="128"/>
      <c r="P129" s="128"/>
      <c r="Q129" s="128"/>
      <c r="R129" s="128"/>
      <c r="S129" s="128"/>
      <c r="T129" s="128"/>
      <c r="U129" s="128"/>
      <c r="V129" s="128"/>
      <c r="W129" s="128"/>
      <c r="X129" s="128"/>
      <c r="Y129" s="128"/>
      <c r="Z129" s="128"/>
      <c r="AA129" s="128"/>
      <c r="AB129" s="128"/>
      <c r="AC129" s="128"/>
      <c r="AD129" s="128"/>
    </row>
    <row r="130" ht="15.75" customHeight="1">
      <c r="A130" s="86">
        <v>1903.0</v>
      </c>
      <c r="B130" s="123" t="s">
        <v>54</v>
      </c>
      <c r="C130" s="124"/>
      <c r="D130" s="125"/>
      <c r="E130" s="126"/>
      <c r="F130" s="125"/>
      <c r="G130" s="126"/>
      <c r="H130" s="124"/>
      <c r="I130" s="124"/>
      <c r="J130" s="127"/>
      <c r="K130" s="128"/>
      <c r="L130" s="128"/>
      <c r="M130" s="128"/>
      <c r="N130" s="128"/>
      <c r="O130" s="128"/>
      <c r="P130" s="128"/>
      <c r="Q130" s="128"/>
      <c r="R130" s="128"/>
      <c r="S130" s="128"/>
      <c r="T130" s="128"/>
      <c r="U130" s="128"/>
      <c r="V130" s="128"/>
      <c r="W130" s="128"/>
      <c r="X130" s="128"/>
      <c r="Y130" s="128"/>
      <c r="Z130" s="128"/>
      <c r="AA130" s="128"/>
      <c r="AB130" s="128"/>
      <c r="AC130" s="128"/>
      <c r="AD130" s="128"/>
    </row>
    <row r="131" ht="15.75" customHeight="1">
      <c r="A131" s="86">
        <v>1902.0</v>
      </c>
      <c r="B131" s="123" t="s">
        <v>54</v>
      </c>
      <c r="C131" s="124"/>
      <c r="D131" s="125"/>
      <c r="E131" s="126"/>
      <c r="F131" s="125"/>
      <c r="G131" s="126"/>
      <c r="H131" s="124"/>
      <c r="I131" s="124"/>
      <c r="J131" s="127"/>
      <c r="K131" s="128"/>
      <c r="L131" s="128"/>
      <c r="M131" s="128"/>
      <c r="N131" s="128"/>
      <c r="O131" s="128"/>
      <c r="P131" s="128"/>
      <c r="Q131" s="128"/>
      <c r="R131" s="128"/>
      <c r="S131" s="128"/>
      <c r="T131" s="128"/>
      <c r="U131" s="128"/>
      <c r="V131" s="128"/>
      <c r="W131" s="128"/>
      <c r="X131" s="128"/>
      <c r="Y131" s="128"/>
      <c r="Z131" s="128"/>
      <c r="AA131" s="128"/>
      <c r="AB131" s="128"/>
      <c r="AC131" s="128"/>
      <c r="AD131" s="128"/>
    </row>
    <row r="132" ht="15.75" customHeight="1">
      <c r="A132" s="86">
        <v>1901.0</v>
      </c>
      <c r="B132" s="123" t="s">
        <v>54</v>
      </c>
      <c r="C132" s="124"/>
      <c r="D132" s="125"/>
      <c r="E132" s="126"/>
      <c r="F132" s="125"/>
      <c r="G132" s="126"/>
      <c r="H132" s="124"/>
      <c r="I132" s="124"/>
      <c r="J132" s="127"/>
      <c r="K132" s="128"/>
      <c r="L132" s="128"/>
      <c r="M132" s="128"/>
      <c r="N132" s="128"/>
      <c r="O132" s="128"/>
      <c r="P132" s="128"/>
      <c r="Q132" s="128"/>
      <c r="R132" s="128"/>
      <c r="S132" s="128"/>
      <c r="T132" s="128"/>
      <c r="U132" s="128"/>
      <c r="V132" s="128"/>
      <c r="W132" s="128"/>
      <c r="X132" s="128"/>
      <c r="Y132" s="128"/>
      <c r="Z132" s="128"/>
      <c r="AA132" s="128"/>
      <c r="AB132" s="128"/>
      <c r="AC132" s="128"/>
      <c r="AD132" s="128"/>
    </row>
    <row r="133" ht="15.75" customHeight="1">
      <c r="A133" s="86">
        <v>1900.0</v>
      </c>
      <c r="B133" s="123" t="s">
        <v>55</v>
      </c>
      <c r="C133" s="124"/>
      <c r="D133" s="125"/>
      <c r="E133" s="126"/>
      <c r="F133" s="125"/>
      <c r="G133" s="126"/>
      <c r="H133" s="124"/>
      <c r="I133" s="124"/>
      <c r="J133" s="127"/>
      <c r="K133" s="128"/>
      <c r="L133" s="128"/>
      <c r="M133" s="128"/>
      <c r="N133" s="128"/>
      <c r="O133" s="128"/>
      <c r="P133" s="128"/>
      <c r="Q133" s="128"/>
      <c r="R133" s="128"/>
      <c r="S133" s="128"/>
      <c r="T133" s="128"/>
      <c r="U133" s="128"/>
      <c r="V133" s="128"/>
      <c r="W133" s="128"/>
      <c r="X133" s="128"/>
      <c r="Y133" s="128"/>
      <c r="Z133" s="128"/>
      <c r="AA133" s="128"/>
      <c r="AB133" s="128"/>
      <c r="AC133" s="128"/>
      <c r="AD133" s="128"/>
    </row>
    <row r="134" ht="15.75" customHeight="1">
      <c r="A134" s="86">
        <v>1899.0</v>
      </c>
      <c r="B134" s="123" t="s">
        <v>55</v>
      </c>
      <c r="C134" s="124"/>
      <c r="D134" s="125"/>
      <c r="E134" s="126"/>
      <c r="F134" s="125"/>
      <c r="G134" s="126"/>
      <c r="H134" s="124"/>
      <c r="I134" s="124"/>
      <c r="J134" s="127"/>
      <c r="K134" s="128"/>
      <c r="L134" s="128"/>
      <c r="M134" s="128"/>
      <c r="N134" s="128"/>
      <c r="O134" s="128"/>
      <c r="P134" s="128"/>
      <c r="Q134" s="128"/>
      <c r="R134" s="128"/>
      <c r="S134" s="128"/>
      <c r="T134" s="128"/>
      <c r="U134" s="128"/>
      <c r="V134" s="128"/>
      <c r="W134" s="128"/>
      <c r="X134" s="128"/>
      <c r="Y134" s="128"/>
      <c r="Z134" s="128"/>
      <c r="AA134" s="128"/>
      <c r="AB134" s="128"/>
      <c r="AC134" s="128"/>
      <c r="AD134" s="128"/>
    </row>
    <row r="135" ht="15.75" customHeight="1">
      <c r="A135" s="86">
        <v>1898.0</v>
      </c>
      <c r="B135" s="123" t="s">
        <v>56</v>
      </c>
      <c r="C135" s="124"/>
      <c r="D135" s="125"/>
      <c r="E135" s="126"/>
      <c r="F135" s="125"/>
      <c r="G135" s="126"/>
      <c r="H135" s="124"/>
      <c r="I135" s="124"/>
      <c r="J135" s="127"/>
      <c r="K135" s="128"/>
      <c r="L135" s="128"/>
      <c r="M135" s="128"/>
      <c r="N135" s="128"/>
      <c r="O135" s="128"/>
      <c r="P135" s="128"/>
      <c r="Q135" s="128"/>
      <c r="R135" s="128"/>
      <c r="S135" s="128"/>
      <c r="T135" s="128"/>
      <c r="U135" s="128"/>
      <c r="V135" s="128"/>
      <c r="W135" s="128"/>
      <c r="X135" s="128"/>
      <c r="Y135" s="128"/>
      <c r="Z135" s="128"/>
      <c r="AA135" s="128"/>
      <c r="AB135" s="128"/>
      <c r="AC135" s="128"/>
      <c r="AD135" s="128"/>
    </row>
    <row r="136" ht="15.75" customHeight="1">
      <c r="A136" s="86">
        <v>1897.0</v>
      </c>
      <c r="B136" s="123" t="s">
        <v>56</v>
      </c>
      <c r="C136" s="124"/>
      <c r="D136" s="125"/>
      <c r="E136" s="126"/>
      <c r="F136" s="125"/>
      <c r="G136" s="126"/>
      <c r="H136" s="124"/>
      <c r="I136" s="124"/>
      <c r="J136" s="127"/>
      <c r="K136" s="128"/>
      <c r="L136" s="128"/>
      <c r="M136" s="128"/>
      <c r="N136" s="128"/>
      <c r="O136" s="128"/>
      <c r="P136" s="128"/>
      <c r="Q136" s="128"/>
      <c r="R136" s="128"/>
      <c r="S136" s="128"/>
      <c r="T136" s="128"/>
      <c r="U136" s="128"/>
      <c r="V136" s="128"/>
      <c r="W136" s="128"/>
      <c r="X136" s="128"/>
      <c r="Y136" s="128"/>
      <c r="Z136" s="128"/>
      <c r="AA136" s="128"/>
      <c r="AB136" s="128"/>
      <c r="AC136" s="128"/>
      <c r="AD136" s="128"/>
    </row>
    <row r="137" ht="15.75" customHeight="1">
      <c r="A137" s="86">
        <v>1896.0</v>
      </c>
      <c r="B137" s="129"/>
      <c r="C137" s="124"/>
      <c r="D137" s="125"/>
      <c r="E137" s="126"/>
      <c r="F137" s="125"/>
      <c r="G137" s="126"/>
      <c r="H137" s="124"/>
      <c r="I137" s="124"/>
      <c r="J137" s="127"/>
      <c r="K137" s="128"/>
      <c r="L137" s="128"/>
      <c r="M137" s="128"/>
      <c r="N137" s="128"/>
      <c r="O137" s="128"/>
      <c r="P137" s="128"/>
      <c r="Q137" s="128"/>
      <c r="R137" s="128"/>
      <c r="S137" s="128"/>
      <c r="T137" s="128"/>
      <c r="U137" s="128"/>
      <c r="V137" s="128"/>
      <c r="W137" s="128"/>
      <c r="X137" s="128"/>
      <c r="Y137" s="128"/>
      <c r="Z137" s="128"/>
      <c r="AA137" s="128"/>
      <c r="AB137" s="128"/>
      <c r="AC137" s="128"/>
      <c r="AD137" s="128"/>
    </row>
    <row r="138" ht="15.75" customHeight="1">
      <c r="A138" s="86">
        <v>1895.0</v>
      </c>
      <c r="B138" s="129"/>
      <c r="C138" s="124"/>
      <c r="D138" s="125"/>
      <c r="E138" s="126"/>
      <c r="F138" s="125"/>
      <c r="G138" s="126"/>
      <c r="H138" s="124"/>
      <c r="I138" s="124"/>
      <c r="J138" s="127"/>
      <c r="K138" s="128"/>
      <c r="L138" s="128"/>
      <c r="M138" s="128"/>
      <c r="N138" s="128"/>
      <c r="O138" s="128"/>
      <c r="P138" s="128"/>
      <c r="Q138" s="128"/>
      <c r="R138" s="128"/>
      <c r="S138" s="128"/>
      <c r="T138" s="128"/>
      <c r="U138" s="128"/>
      <c r="V138" s="128"/>
      <c r="W138" s="128"/>
      <c r="X138" s="128"/>
      <c r="Y138" s="128"/>
      <c r="Z138" s="128"/>
      <c r="AA138" s="128"/>
      <c r="AB138" s="128"/>
      <c r="AC138" s="128"/>
      <c r="AD138" s="128"/>
    </row>
    <row r="139" ht="15.75" customHeight="1">
      <c r="A139" s="86">
        <v>1894.0</v>
      </c>
      <c r="B139" s="129"/>
      <c r="C139" s="124"/>
      <c r="D139" s="125"/>
      <c r="E139" s="126"/>
      <c r="F139" s="125"/>
      <c r="G139" s="126"/>
      <c r="H139" s="124"/>
      <c r="I139" s="124"/>
      <c r="J139" s="127"/>
      <c r="K139" s="128"/>
      <c r="L139" s="128"/>
      <c r="M139" s="128"/>
      <c r="N139" s="128"/>
      <c r="O139" s="128"/>
      <c r="P139" s="128"/>
      <c r="Q139" s="128"/>
      <c r="R139" s="128"/>
      <c r="S139" s="128"/>
      <c r="T139" s="128"/>
      <c r="U139" s="128"/>
      <c r="V139" s="128"/>
      <c r="W139" s="128"/>
      <c r="X139" s="128"/>
      <c r="Y139" s="128"/>
      <c r="Z139" s="128"/>
      <c r="AA139" s="128"/>
      <c r="AB139" s="128"/>
      <c r="AC139" s="128"/>
      <c r="AD139" s="128"/>
    </row>
    <row r="140" ht="15.75" customHeight="1">
      <c r="A140" s="86">
        <v>1893.0</v>
      </c>
      <c r="B140" s="129"/>
      <c r="C140" s="124"/>
      <c r="D140" s="125"/>
      <c r="E140" s="126"/>
      <c r="F140" s="125"/>
      <c r="G140" s="126"/>
      <c r="H140" s="124"/>
      <c r="I140" s="124"/>
      <c r="J140" s="127"/>
      <c r="K140" s="128"/>
      <c r="L140" s="128"/>
      <c r="M140" s="128"/>
      <c r="N140" s="128"/>
      <c r="O140" s="128"/>
      <c r="P140" s="128"/>
      <c r="Q140" s="128"/>
      <c r="R140" s="128"/>
      <c r="S140" s="128"/>
      <c r="T140" s="128"/>
      <c r="U140" s="128"/>
      <c r="V140" s="128"/>
      <c r="W140" s="128"/>
      <c r="X140" s="128"/>
      <c r="Y140" s="128"/>
      <c r="Z140" s="128"/>
      <c r="AA140" s="128"/>
      <c r="AB140" s="128"/>
      <c r="AC140" s="128"/>
      <c r="AD140" s="128"/>
    </row>
    <row r="141" ht="15.75" customHeight="1">
      <c r="A141" s="86">
        <v>1892.0</v>
      </c>
      <c r="B141" s="129"/>
      <c r="C141" s="124"/>
      <c r="D141" s="125"/>
      <c r="E141" s="126"/>
      <c r="F141" s="125"/>
      <c r="G141" s="126"/>
      <c r="H141" s="124"/>
      <c r="I141" s="124"/>
      <c r="J141" s="127"/>
      <c r="K141" s="128"/>
      <c r="L141" s="128"/>
      <c r="M141" s="128"/>
      <c r="N141" s="128"/>
      <c r="O141" s="128"/>
      <c r="P141" s="128"/>
      <c r="Q141" s="128"/>
      <c r="R141" s="128"/>
      <c r="S141" s="128"/>
      <c r="T141" s="128"/>
      <c r="U141" s="128"/>
      <c r="V141" s="128"/>
      <c r="W141" s="128"/>
      <c r="X141" s="128"/>
      <c r="Y141" s="128"/>
      <c r="Z141" s="128"/>
      <c r="AA141" s="128"/>
      <c r="AB141" s="128"/>
      <c r="AC141" s="128"/>
      <c r="AD141" s="128"/>
    </row>
    <row r="142" ht="15.75" customHeight="1">
      <c r="A142" s="128"/>
      <c r="B142" s="129"/>
      <c r="C142" s="124"/>
      <c r="D142" s="125"/>
      <c r="E142" s="126"/>
      <c r="F142" s="125"/>
      <c r="G142" s="126"/>
      <c r="H142" s="124"/>
      <c r="I142" s="124"/>
      <c r="J142" s="127"/>
      <c r="K142" s="128"/>
      <c r="L142" s="128"/>
      <c r="M142" s="128"/>
      <c r="N142" s="128"/>
      <c r="O142" s="128"/>
      <c r="P142" s="128"/>
      <c r="Q142" s="128"/>
      <c r="R142" s="128"/>
      <c r="S142" s="128"/>
      <c r="T142" s="128"/>
      <c r="U142" s="128"/>
      <c r="V142" s="128"/>
      <c r="W142" s="128"/>
      <c r="X142" s="128"/>
      <c r="Y142" s="128"/>
      <c r="Z142" s="128"/>
      <c r="AA142" s="128"/>
      <c r="AB142" s="128"/>
      <c r="AC142" s="128"/>
      <c r="AD142" s="128"/>
    </row>
    <row r="143" ht="15.75" customHeight="1">
      <c r="A143" s="128"/>
      <c r="B143" s="129"/>
      <c r="C143" s="124"/>
      <c r="D143" s="125"/>
      <c r="E143" s="126"/>
      <c r="F143" s="125"/>
      <c r="G143" s="126"/>
      <c r="H143" s="124"/>
      <c r="I143" s="124"/>
      <c r="J143" s="127"/>
      <c r="K143" s="128"/>
      <c r="L143" s="128"/>
      <c r="M143" s="128"/>
      <c r="N143" s="128"/>
      <c r="O143" s="128"/>
      <c r="P143" s="128"/>
      <c r="Q143" s="128"/>
      <c r="R143" s="128"/>
      <c r="S143" s="128"/>
      <c r="T143" s="128"/>
      <c r="U143" s="128"/>
      <c r="V143" s="128"/>
      <c r="W143" s="128"/>
      <c r="X143" s="128"/>
      <c r="Y143" s="128"/>
      <c r="Z143" s="128"/>
      <c r="AA143" s="128"/>
      <c r="AB143" s="128"/>
      <c r="AC143" s="128"/>
      <c r="AD143" s="128"/>
    </row>
    <row r="144" ht="15.75" customHeight="1">
      <c r="A144" s="128"/>
      <c r="B144" s="129"/>
      <c r="C144" s="124"/>
      <c r="D144" s="125"/>
      <c r="E144" s="126"/>
      <c r="F144" s="125"/>
      <c r="G144" s="126"/>
      <c r="H144" s="124"/>
      <c r="I144" s="124"/>
      <c r="J144" s="127"/>
      <c r="K144" s="128"/>
      <c r="L144" s="128"/>
      <c r="M144" s="128"/>
      <c r="N144" s="128"/>
      <c r="O144" s="128"/>
      <c r="P144" s="128"/>
      <c r="Q144" s="128"/>
      <c r="R144" s="128"/>
      <c r="S144" s="128"/>
      <c r="T144" s="128"/>
      <c r="U144" s="128"/>
      <c r="V144" s="128"/>
      <c r="W144" s="128"/>
      <c r="X144" s="128"/>
      <c r="Y144" s="128"/>
      <c r="Z144" s="128"/>
      <c r="AA144" s="128"/>
      <c r="AB144" s="128"/>
      <c r="AC144" s="128"/>
      <c r="AD144" s="128"/>
    </row>
    <row r="145" ht="15.75" customHeight="1">
      <c r="A145" s="128"/>
      <c r="B145" s="129"/>
      <c r="C145" s="124"/>
      <c r="D145" s="125"/>
      <c r="E145" s="126"/>
      <c r="F145" s="125"/>
      <c r="G145" s="126"/>
      <c r="H145" s="124"/>
      <c r="I145" s="124"/>
      <c r="J145" s="127"/>
      <c r="K145" s="128"/>
      <c r="L145" s="128"/>
      <c r="M145" s="128"/>
      <c r="N145" s="128"/>
      <c r="O145" s="128"/>
      <c r="P145" s="128"/>
      <c r="Q145" s="128"/>
      <c r="R145" s="128"/>
      <c r="S145" s="128"/>
      <c r="T145" s="128"/>
      <c r="U145" s="128"/>
      <c r="V145" s="128"/>
      <c r="W145" s="128"/>
      <c r="X145" s="128"/>
      <c r="Y145" s="128"/>
      <c r="Z145" s="128"/>
      <c r="AA145" s="128"/>
      <c r="AB145" s="128"/>
      <c r="AC145" s="128"/>
      <c r="AD145" s="128"/>
    </row>
    <row r="146" ht="15.75" customHeight="1">
      <c r="A146" s="128"/>
      <c r="B146" s="129"/>
      <c r="C146" s="124"/>
      <c r="D146" s="125"/>
      <c r="E146" s="126"/>
      <c r="F146" s="125"/>
      <c r="G146" s="126"/>
      <c r="H146" s="124"/>
      <c r="I146" s="124"/>
      <c r="J146" s="127"/>
      <c r="K146" s="128"/>
      <c r="L146" s="128"/>
      <c r="M146" s="128"/>
      <c r="N146" s="128"/>
      <c r="O146" s="128"/>
      <c r="P146" s="128"/>
      <c r="Q146" s="128"/>
      <c r="R146" s="128"/>
      <c r="S146" s="128"/>
      <c r="T146" s="128"/>
      <c r="U146" s="128"/>
      <c r="V146" s="128"/>
      <c r="W146" s="128"/>
      <c r="X146" s="128"/>
      <c r="Y146" s="128"/>
      <c r="Z146" s="128"/>
      <c r="AA146" s="128"/>
      <c r="AB146" s="128"/>
      <c r="AC146" s="128"/>
      <c r="AD146" s="128"/>
    </row>
    <row r="147" ht="15.75" customHeight="1">
      <c r="A147" s="128"/>
      <c r="B147" s="129"/>
      <c r="C147" s="124"/>
      <c r="D147" s="125"/>
      <c r="E147" s="126"/>
      <c r="F147" s="125"/>
      <c r="G147" s="126"/>
      <c r="H147" s="124"/>
      <c r="I147" s="124"/>
      <c r="J147" s="127"/>
      <c r="K147" s="128"/>
      <c r="L147" s="128"/>
      <c r="M147" s="128"/>
      <c r="N147" s="128"/>
      <c r="O147" s="128"/>
      <c r="P147" s="128"/>
      <c r="Q147" s="128"/>
      <c r="R147" s="128"/>
      <c r="S147" s="128"/>
      <c r="T147" s="128"/>
      <c r="U147" s="128"/>
      <c r="V147" s="128"/>
      <c r="W147" s="128"/>
      <c r="X147" s="128"/>
      <c r="Y147" s="128"/>
      <c r="Z147" s="128"/>
      <c r="AA147" s="128"/>
      <c r="AB147" s="128"/>
      <c r="AC147" s="128"/>
      <c r="AD147" s="128"/>
    </row>
    <row r="148" ht="15.75" customHeight="1">
      <c r="A148" s="128"/>
      <c r="B148" s="129"/>
      <c r="C148" s="124"/>
      <c r="D148" s="125"/>
      <c r="E148" s="126"/>
      <c r="F148" s="125"/>
      <c r="G148" s="126"/>
      <c r="H148" s="124"/>
      <c r="I148" s="124"/>
      <c r="J148" s="127"/>
      <c r="K148" s="128"/>
      <c r="L148" s="128"/>
      <c r="M148" s="128"/>
      <c r="N148" s="128"/>
      <c r="O148" s="128"/>
      <c r="P148" s="128"/>
      <c r="Q148" s="128"/>
      <c r="R148" s="128"/>
      <c r="S148" s="128"/>
      <c r="T148" s="128"/>
      <c r="U148" s="128"/>
      <c r="V148" s="128"/>
      <c r="W148" s="128"/>
      <c r="X148" s="128"/>
      <c r="Y148" s="128"/>
      <c r="Z148" s="128"/>
      <c r="AA148" s="128"/>
      <c r="AB148" s="128"/>
      <c r="AC148" s="128"/>
      <c r="AD148" s="128"/>
    </row>
    <row r="149" ht="15.75" customHeight="1">
      <c r="A149" s="128"/>
      <c r="B149" s="129"/>
      <c r="C149" s="124"/>
      <c r="D149" s="125"/>
      <c r="E149" s="126"/>
      <c r="F149" s="125"/>
      <c r="G149" s="126"/>
      <c r="H149" s="124"/>
      <c r="I149" s="124"/>
      <c r="J149" s="127"/>
      <c r="K149" s="128"/>
      <c r="L149" s="128"/>
      <c r="M149" s="128"/>
      <c r="N149" s="128"/>
      <c r="O149" s="128"/>
      <c r="P149" s="128"/>
      <c r="Q149" s="128"/>
      <c r="R149" s="128"/>
      <c r="S149" s="128"/>
      <c r="T149" s="128"/>
      <c r="U149" s="128"/>
      <c r="V149" s="128"/>
      <c r="W149" s="128"/>
      <c r="X149" s="128"/>
      <c r="Y149" s="128"/>
      <c r="Z149" s="128"/>
      <c r="AA149" s="128"/>
      <c r="AB149" s="128"/>
      <c r="AC149" s="128"/>
      <c r="AD149" s="128"/>
    </row>
    <row r="150" ht="15.75" customHeight="1">
      <c r="A150" s="128"/>
      <c r="B150" s="129"/>
      <c r="C150" s="124"/>
      <c r="D150" s="125"/>
      <c r="E150" s="126"/>
      <c r="F150" s="125"/>
      <c r="G150" s="126"/>
      <c r="H150" s="124"/>
      <c r="I150" s="124"/>
      <c r="J150" s="127"/>
      <c r="K150" s="128"/>
      <c r="L150" s="128"/>
      <c r="M150" s="128"/>
      <c r="N150" s="128"/>
      <c r="O150" s="128"/>
      <c r="P150" s="128"/>
      <c r="Q150" s="128"/>
      <c r="R150" s="128"/>
      <c r="S150" s="128"/>
      <c r="T150" s="128"/>
      <c r="U150" s="128"/>
      <c r="V150" s="128"/>
      <c r="W150" s="128"/>
      <c r="X150" s="128"/>
      <c r="Y150" s="128"/>
      <c r="Z150" s="128"/>
      <c r="AA150" s="128"/>
      <c r="AB150" s="128"/>
      <c r="AC150" s="128"/>
      <c r="AD150" s="128"/>
    </row>
    <row r="151" ht="15.75" customHeight="1">
      <c r="A151" s="128"/>
      <c r="B151" s="129"/>
      <c r="C151" s="124"/>
      <c r="D151" s="125"/>
      <c r="E151" s="126"/>
      <c r="F151" s="125"/>
      <c r="G151" s="126"/>
      <c r="H151" s="124"/>
      <c r="I151" s="124"/>
      <c r="J151" s="127"/>
      <c r="K151" s="128"/>
      <c r="L151" s="128"/>
      <c r="M151" s="128"/>
      <c r="N151" s="128"/>
      <c r="O151" s="128"/>
      <c r="P151" s="128"/>
      <c r="Q151" s="128"/>
      <c r="R151" s="128"/>
      <c r="S151" s="128"/>
      <c r="T151" s="128"/>
      <c r="U151" s="128"/>
      <c r="V151" s="128"/>
      <c r="W151" s="128"/>
      <c r="X151" s="128"/>
      <c r="Y151" s="128"/>
      <c r="Z151" s="128"/>
      <c r="AA151" s="128"/>
      <c r="AB151" s="128"/>
      <c r="AC151" s="128"/>
      <c r="AD151" s="128"/>
    </row>
    <row r="152" ht="15.75" customHeight="1">
      <c r="A152" s="128"/>
      <c r="B152" s="129"/>
      <c r="C152" s="124"/>
      <c r="D152" s="125"/>
      <c r="E152" s="126"/>
      <c r="F152" s="125"/>
      <c r="G152" s="126"/>
      <c r="H152" s="124"/>
      <c r="I152" s="124"/>
      <c r="J152" s="127"/>
      <c r="K152" s="128"/>
      <c r="L152" s="128"/>
      <c r="M152" s="128"/>
      <c r="N152" s="128"/>
      <c r="O152" s="128"/>
      <c r="P152" s="128"/>
      <c r="Q152" s="128"/>
      <c r="R152" s="128"/>
      <c r="S152" s="128"/>
      <c r="T152" s="128"/>
      <c r="U152" s="128"/>
      <c r="V152" s="128"/>
      <c r="W152" s="128"/>
      <c r="X152" s="128"/>
      <c r="Y152" s="128"/>
      <c r="Z152" s="128"/>
      <c r="AA152" s="128"/>
      <c r="AB152" s="128"/>
      <c r="AC152" s="128"/>
      <c r="AD152" s="128"/>
    </row>
    <row r="153" ht="15.75" customHeight="1">
      <c r="A153" s="128"/>
      <c r="B153" s="129"/>
      <c r="C153" s="124"/>
      <c r="D153" s="125"/>
      <c r="E153" s="126"/>
      <c r="F153" s="125"/>
      <c r="G153" s="126"/>
      <c r="H153" s="124"/>
      <c r="I153" s="124"/>
      <c r="J153" s="127"/>
      <c r="K153" s="128"/>
      <c r="L153" s="128"/>
      <c r="M153" s="128"/>
      <c r="N153" s="128"/>
      <c r="O153" s="128"/>
      <c r="P153" s="128"/>
      <c r="Q153" s="128"/>
      <c r="R153" s="128"/>
      <c r="S153" s="128"/>
      <c r="T153" s="128"/>
      <c r="U153" s="128"/>
      <c r="V153" s="128"/>
      <c r="W153" s="128"/>
      <c r="X153" s="128"/>
      <c r="Y153" s="128"/>
      <c r="Z153" s="128"/>
      <c r="AA153" s="128"/>
      <c r="AB153" s="128"/>
      <c r="AC153" s="128"/>
      <c r="AD153" s="128"/>
    </row>
    <row r="154" ht="15.75" customHeight="1">
      <c r="A154" s="128"/>
      <c r="B154" s="129"/>
      <c r="C154" s="124"/>
      <c r="D154" s="125"/>
      <c r="E154" s="126"/>
      <c r="F154" s="125"/>
      <c r="G154" s="126"/>
      <c r="H154" s="124"/>
      <c r="I154" s="124"/>
      <c r="J154" s="127"/>
      <c r="K154" s="128"/>
      <c r="L154" s="128"/>
      <c r="M154" s="128"/>
      <c r="N154" s="128"/>
      <c r="O154" s="128"/>
      <c r="P154" s="128"/>
      <c r="Q154" s="128"/>
      <c r="R154" s="128"/>
      <c r="S154" s="128"/>
      <c r="T154" s="128"/>
      <c r="U154" s="128"/>
      <c r="V154" s="128"/>
      <c r="W154" s="128"/>
      <c r="X154" s="128"/>
      <c r="Y154" s="128"/>
      <c r="Z154" s="128"/>
      <c r="AA154" s="128"/>
      <c r="AB154" s="128"/>
      <c r="AC154" s="128"/>
      <c r="AD154" s="128"/>
    </row>
    <row r="155" ht="15.75" customHeight="1">
      <c r="A155" s="128"/>
      <c r="B155" s="129"/>
      <c r="C155" s="124"/>
      <c r="D155" s="125"/>
      <c r="E155" s="126"/>
      <c r="F155" s="125"/>
      <c r="G155" s="126"/>
      <c r="H155" s="124"/>
      <c r="I155" s="124"/>
      <c r="J155" s="127"/>
      <c r="K155" s="128"/>
      <c r="L155" s="128"/>
      <c r="M155" s="128"/>
      <c r="N155" s="128"/>
      <c r="O155" s="128"/>
      <c r="P155" s="128"/>
      <c r="Q155" s="128"/>
      <c r="R155" s="128"/>
      <c r="S155" s="128"/>
      <c r="T155" s="128"/>
      <c r="U155" s="128"/>
      <c r="V155" s="128"/>
      <c r="W155" s="128"/>
      <c r="X155" s="128"/>
      <c r="Y155" s="128"/>
      <c r="Z155" s="128"/>
      <c r="AA155" s="128"/>
      <c r="AB155" s="128"/>
      <c r="AC155" s="128"/>
      <c r="AD155" s="128"/>
    </row>
    <row r="156" ht="15.75" customHeight="1">
      <c r="A156" s="128"/>
      <c r="B156" s="129"/>
      <c r="C156" s="124"/>
      <c r="D156" s="125"/>
      <c r="E156" s="126"/>
      <c r="F156" s="125"/>
      <c r="G156" s="126"/>
      <c r="H156" s="124"/>
      <c r="I156" s="124"/>
      <c r="J156" s="127"/>
      <c r="K156" s="128"/>
      <c r="L156" s="128"/>
      <c r="M156" s="128"/>
      <c r="N156" s="128"/>
      <c r="O156" s="128"/>
      <c r="P156" s="128"/>
      <c r="Q156" s="128"/>
      <c r="R156" s="128"/>
      <c r="S156" s="128"/>
      <c r="T156" s="128"/>
      <c r="U156" s="128"/>
      <c r="V156" s="128"/>
      <c r="W156" s="128"/>
      <c r="X156" s="128"/>
      <c r="Y156" s="128"/>
      <c r="Z156" s="128"/>
      <c r="AA156" s="128"/>
      <c r="AB156" s="128"/>
      <c r="AC156" s="128"/>
      <c r="AD156" s="128"/>
    </row>
    <row r="157" ht="15.75" customHeight="1">
      <c r="A157" s="128"/>
      <c r="B157" s="129"/>
      <c r="C157" s="124"/>
      <c r="D157" s="125"/>
      <c r="E157" s="126"/>
      <c r="F157" s="125"/>
      <c r="G157" s="126"/>
      <c r="H157" s="124"/>
      <c r="I157" s="124"/>
      <c r="J157" s="127"/>
      <c r="K157" s="128"/>
      <c r="L157" s="128"/>
      <c r="M157" s="128"/>
      <c r="N157" s="128"/>
      <c r="O157" s="128"/>
      <c r="P157" s="128"/>
      <c r="Q157" s="128"/>
      <c r="R157" s="128"/>
      <c r="S157" s="128"/>
      <c r="T157" s="128"/>
      <c r="U157" s="128"/>
      <c r="V157" s="128"/>
      <c r="W157" s="128"/>
      <c r="X157" s="128"/>
      <c r="Y157" s="128"/>
      <c r="Z157" s="128"/>
      <c r="AA157" s="128"/>
      <c r="AB157" s="128"/>
      <c r="AC157" s="128"/>
      <c r="AD157" s="128"/>
    </row>
    <row r="158" ht="15.75" customHeight="1">
      <c r="A158" s="128"/>
      <c r="B158" s="129"/>
      <c r="C158" s="124"/>
      <c r="D158" s="125"/>
      <c r="E158" s="126"/>
      <c r="F158" s="125"/>
      <c r="G158" s="126"/>
      <c r="H158" s="124"/>
      <c r="I158" s="124"/>
      <c r="J158" s="127"/>
      <c r="K158" s="128"/>
      <c r="L158" s="128"/>
      <c r="M158" s="128"/>
      <c r="N158" s="128"/>
      <c r="O158" s="128"/>
      <c r="P158" s="128"/>
      <c r="Q158" s="128"/>
      <c r="R158" s="128"/>
      <c r="S158" s="128"/>
      <c r="T158" s="128"/>
      <c r="U158" s="128"/>
      <c r="V158" s="128"/>
      <c r="W158" s="128"/>
      <c r="X158" s="128"/>
      <c r="Y158" s="128"/>
      <c r="Z158" s="128"/>
      <c r="AA158" s="128"/>
      <c r="AB158" s="128"/>
      <c r="AC158" s="128"/>
      <c r="AD158" s="128"/>
    </row>
    <row r="159" ht="15.75" customHeight="1">
      <c r="A159" s="128"/>
      <c r="B159" s="129"/>
      <c r="C159" s="124"/>
      <c r="D159" s="125"/>
      <c r="E159" s="126"/>
      <c r="F159" s="125"/>
      <c r="G159" s="126"/>
      <c r="H159" s="124"/>
      <c r="I159" s="124"/>
      <c r="J159" s="127"/>
      <c r="K159" s="128"/>
      <c r="L159" s="128"/>
      <c r="M159" s="128"/>
      <c r="N159" s="128"/>
      <c r="O159" s="128"/>
      <c r="P159" s="128"/>
      <c r="Q159" s="128"/>
      <c r="R159" s="128"/>
      <c r="S159" s="128"/>
      <c r="T159" s="128"/>
      <c r="U159" s="128"/>
      <c r="V159" s="128"/>
      <c r="W159" s="128"/>
      <c r="X159" s="128"/>
      <c r="Y159" s="128"/>
      <c r="Z159" s="128"/>
      <c r="AA159" s="128"/>
      <c r="AB159" s="128"/>
      <c r="AC159" s="128"/>
      <c r="AD159" s="128"/>
    </row>
    <row r="160" ht="15.75" customHeight="1">
      <c r="A160" s="128"/>
      <c r="B160" s="129"/>
      <c r="C160" s="124"/>
      <c r="D160" s="125"/>
      <c r="E160" s="126"/>
      <c r="F160" s="125"/>
      <c r="G160" s="126"/>
      <c r="H160" s="124"/>
      <c r="I160" s="124"/>
      <c r="J160" s="127"/>
      <c r="K160" s="128"/>
      <c r="L160" s="128"/>
      <c r="M160" s="128"/>
      <c r="N160" s="128"/>
      <c r="O160" s="128"/>
      <c r="P160" s="128"/>
      <c r="Q160" s="128"/>
      <c r="R160" s="128"/>
      <c r="S160" s="128"/>
      <c r="T160" s="128"/>
      <c r="U160" s="128"/>
      <c r="V160" s="128"/>
      <c r="W160" s="128"/>
      <c r="X160" s="128"/>
      <c r="Y160" s="128"/>
      <c r="Z160" s="128"/>
      <c r="AA160" s="128"/>
      <c r="AB160" s="128"/>
      <c r="AC160" s="128"/>
      <c r="AD160" s="128"/>
    </row>
    <row r="161" ht="15.75" customHeight="1">
      <c r="A161" s="128"/>
      <c r="B161" s="129"/>
      <c r="C161" s="124"/>
      <c r="D161" s="125"/>
      <c r="E161" s="126"/>
      <c r="F161" s="125"/>
      <c r="G161" s="126"/>
      <c r="H161" s="124"/>
      <c r="I161" s="124"/>
      <c r="J161" s="127"/>
      <c r="K161" s="128"/>
      <c r="L161" s="128"/>
      <c r="M161" s="128"/>
      <c r="N161" s="128"/>
      <c r="O161" s="128"/>
      <c r="P161" s="128"/>
      <c r="Q161" s="128"/>
      <c r="R161" s="128"/>
      <c r="S161" s="128"/>
      <c r="T161" s="128"/>
      <c r="U161" s="128"/>
      <c r="V161" s="128"/>
      <c r="W161" s="128"/>
      <c r="X161" s="128"/>
      <c r="Y161" s="128"/>
      <c r="Z161" s="128"/>
      <c r="AA161" s="128"/>
      <c r="AB161" s="128"/>
      <c r="AC161" s="128"/>
      <c r="AD161" s="128"/>
    </row>
    <row r="162" ht="15.75" customHeight="1">
      <c r="A162" s="128"/>
      <c r="B162" s="129"/>
      <c r="C162" s="124"/>
      <c r="D162" s="125"/>
      <c r="E162" s="126"/>
      <c r="F162" s="125"/>
      <c r="G162" s="126"/>
      <c r="H162" s="124"/>
      <c r="I162" s="124"/>
      <c r="J162" s="127"/>
      <c r="K162" s="128"/>
      <c r="L162" s="128"/>
      <c r="M162" s="128"/>
      <c r="N162" s="128"/>
      <c r="O162" s="128"/>
      <c r="P162" s="128"/>
      <c r="Q162" s="128"/>
      <c r="R162" s="128"/>
      <c r="S162" s="128"/>
      <c r="T162" s="128"/>
      <c r="U162" s="128"/>
      <c r="V162" s="128"/>
      <c r="W162" s="128"/>
      <c r="X162" s="128"/>
      <c r="Y162" s="128"/>
      <c r="Z162" s="128"/>
      <c r="AA162" s="128"/>
      <c r="AB162" s="128"/>
      <c r="AC162" s="128"/>
      <c r="AD162" s="128"/>
    </row>
    <row r="163" ht="15.75" customHeight="1">
      <c r="A163" s="128"/>
      <c r="B163" s="129"/>
      <c r="C163" s="124"/>
      <c r="D163" s="125"/>
      <c r="E163" s="126"/>
      <c r="F163" s="125"/>
      <c r="G163" s="126"/>
      <c r="H163" s="124"/>
      <c r="I163" s="124"/>
      <c r="J163" s="127"/>
      <c r="K163" s="128"/>
      <c r="L163" s="128"/>
      <c r="M163" s="128"/>
      <c r="N163" s="128"/>
      <c r="O163" s="128"/>
      <c r="P163" s="128"/>
      <c r="Q163" s="128"/>
      <c r="R163" s="128"/>
      <c r="S163" s="128"/>
      <c r="T163" s="128"/>
      <c r="U163" s="128"/>
      <c r="V163" s="128"/>
      <c r="W163" s="128"/>
      <c r="X163" s="128"/>
      <c r="Y163" s="128"/>
      <c r="Z163" s="128"/>
      <c r="AA163" s="128"/>
      <c r="AB163" s="128"/>
      <c r="AC163" s="128"/>
      <c r="AD163" s="128"/>
    </row>
    <row r="164" ht="15.75" customHeight="1">
      <c r="A164" s="128"/>
      <c r="B164" s="129"/>
      <c r="C164" s="124"/>
      <c r="D164" s="125"/>
      <c r="E164" s="126"/>
      <c r="F164" s="125"/>
      <c r="G164" s="126"/>
      <c r="H164" s="124"/>
      <c r="I164" s="124"/>
      <c r="J164" s="127"/>
      <c r="K164" s="128"/>
      <c r="L164" s="128"/>
      <c r="M164" s="128"/>
      <c r="N164" s="128"/>
      <c r="O164" s="128"/>
      <c r="P164" s="128"/>
      <c r="Q164" s="128"/>
      <c r="R164" s="128"/>
      <c r="S164" s="128"/>
      <c r="T164" s="128"/>
      <c r="U164" s="128"/>
      <c r="V164" s="128"/>
      <c r="W164" s="128"/>
      <c r="X164" s="128"/>
      <c r="Y164" s="128"/>
      <c r="Z164" s="128"/>
      <c r="AA164" s="128"/>
      <c r="AB164" s="128"/>
      <c r="AC164" s="128"/>
      <c r="AD164" s="128"/>
    </row>
    <row r="165" ht="15.75" customHeight="1">
      <c r="A165" s="130"/>
      <c r="B165" s="131"/>
      <c r="C165" s="132"/>
      <c r="D165" s="133"/>
      <c r="E165" s="134"/>
      <c r="F165" s="133"/>
      <c r="G165" s="134"/>
      <c r="H165" s="132"/>
      <c r="I165" s="132"/>
      <c r="J165" s="135"/>
      <c r="K165" s="130"/>
      <c r="L165" s="130"/>
      <c r="M165" s="130"/>
      <c r="N165" s="130"/>
      <c r="O165" s="130"/>
      <c r="P165" s="130"/>
      <c r="Q165" s="130"/>
      <c r="R165" s="130"/>
      <c r="S165" s="130"/>
      <c r="T165" s="130"/>
      <c r="U165" s="130"/>
      <c r="V165" s="130"/>
      <c r="W165" s="130"/>
      <c r="X165" s="130"/>
      <c r="Y165" s="130"/>
      <c r="Z165" s="130"/>
      <c r="AA165" s="130"/>
      <c r="AB165" s="130"/>
      <c r="AC165" s="130"/>
      <c r="AD165" s="130"/>
    </row>
    <row r="166" ht="15.75" customHeight="1">
      <c r="A166" s="130"/>
      <c r="B166" s="131"/>
      <c r="C166" s="132"/>
      <c r="D166" s="133"/>
      <c r="E166" s="134"/>
      <c r="F166" s="133"/>
      <c r="G166" s="134"/>
      <c r="H166" s="132"/>
      <c r="I166" s="132"/>
      <c r="J166" s="135"/>
      <c r="K166" s="130"/>
      <c r="L166" s="130"/>
      <c r="M166" s="130"/>
      <c r="N166" s="130"/>
      <c r="O166" s="130"/>
      <c r="P166" s="130"/>
      <c r="Q166" s="130"/>
      <c r="R166" s="130"/>
      <c r="S166" s="130"/>
      <c r="T166" s="130"/>
      <c r="U166" s="130"/>
      <c r="V166" s="130"/>
      <c r="W166" s="130"/>
      <c r="X166" s="130"/>
      <c r="Y166" s="130"/>
      <c r="Z166" s="130"/>
      <c r="AA166" s="130"/>
      <c r="AB166" s="130"/>
      <c r="AC166" s="130"/>
      <c r="AD166" s="130"/>
    </row>
    <row r="167" ht="15.75" customHeight="1">
      <c r="A167" s="130"/>
      <c r="B167" s="131"/>
      <c r="C167" s="132"/>
      <c r="D167" s="133"/>
      <c r="E167" s="134"/>
      <c r="F167" s="133"/>
      <c r="G167" s="134"/>
      <c r="H167" s="132"/>
      <c r="I167" s="132"/>
      <c r="J167" s="135"/>
      <c r="K167" s="130"/>
      <c r="L167" s="130"/>
      <c r="M167" s="130"/>
      <c r="N167" s="130"/>
      <c r="O167" s="130"/>
      <c r="P167" s="130"/>
      <c r="Q167" s="130"/>
      <c r="R167" s="130"/>
      <c r="S167" s="130"/>
      <c r="T167" s="130"/>
      <c r="U167" s="130"/>
      <c r="V167" s="130"/>
      <c r="W167" s="130"/>
      <c r="X167" s="130"/>
      <c r="Y167" s="130"/>
      <c r="Z167" s="130"/>
      <c r="AA167" s="130"/>
      <c r="AB167" s="130"/>
      <c r="AC167" s="130"/>
      <c r="AD167" s="130"/>
    </row>
    <row r="168" ht="15.75" customHeight="1">
      <c r="A168" s="130"/>
      <c r="B168" s="131"/>
      <c r="C168" s="132"/>
      <c r="D168" s="133"/>
      <c r="E168" s="134"/>
      <c r="F168" s="133"/>
      <c r="G168" s="134"/>
      <c r="H168" s="132"/>
      <c r="I168" s="132"/>
      <c r="J168" s="135"/>
      <c r="K168" s="130"/>
      <c r="L168" s="130"/>
      <c r="M168" s="130"/>
      <c r="N168" s="130"/>
      <c r="O168" s="130"/>
      <c r="P168" s="130"/>
      <c r="Q168" s="130"/>
      <c r="R168" s="130"/>
      <c r="S168" s="130"/>
      <c r="T168" s="130"/>
      <c r="U168" s="130"/>
      <c r="V168" s="130"/>
      <c r="W168" s="130"/>
      <c r="X168" s="130"/>
      <c r="Y168" s="130"/>
      <c r="Z168" s="130"/>
      <c r="AA168" s="130"/>
      <c r="AB168" s="130"/>
      <c r="AC168" s="130"/>
      <c r="AD168" s="130"/>
    </row>
    <row r="169" ht="15.75" customHeight="1">
      <c r="A169" s="130"/>
      <c r="B169" s="131"/>
      <c r="C169" s="132"/>
      <c r="D169" s="133"/>
      <c r="E169" s="134"/>
      <c r="F169" s="133"/>
      <c r="G169" s="134"/>
      <c r="H169" s="132"/>
      <c r="I169" s="132"/>
      <c r="J169" s="135"/>
      <c r="K169" s="130"/>
      <c r="L169" s="130"/>
      <c r="M169" s="130"/>
      <c r="N169" s="130"/>
      <c r="O169" s="130"/>
      <c r="P169" s="130"/>
      <c r="Q169" s="130"/>
      <c r="R169" s="130"/>
      <c r="S169" s="130"/>
      <c r="T169" s="130"/>
      <c r="U169" s="130"/>
      <c r="V169" s="130"/>
      <c r="W169" s="130"/>
      <c r="X169" s="130"/>
      <c r="Y169" s="130"/>
      <c r="Z169" s="130"/>
      <c r="AA169" s="130"/>
      <c r="AB169" s="130"/>
      <c r="AC169" s="130"/>
      <c r="AD169" s="130"/>
    </row>
    <row r="170" ht="15.75" customHeight="1">
      <c r="A170" s="130"/>
      <c r="B170" s="131"/>
      <c r="C170" s="132"/>
      <c r="D170" s="133"/>
      <c r="E170" s="134"/>
      <c r="F170" s="133"/>
      <c r="G170" s="134"/>
      <c r="H170" s="132"/>
      <c r="I170" s="132"/>
      <c r="J170" s="135"/>
      <c r="K170" s="130"/>
      <c r="L170" s="130"/>
      <c r="M170" s="130"/>
      <c r="N170" s="130"/>
      <c r="O170" s="130"/>
      <c r="P170" s="130"/>
      <c r="Q170" s="130"/>
      <c r="R170" s="130"/>
      <c r="S170" s="130"/>
      <c r="T170" s="130"/>
      <c r="U170" s="130"/>
      <c r="V170" s="130"/>
      <c r="W170" s="130"/>
      <c r="X170" s="130"/>
      <c r="Y170" s="130"/>
      <c r="Z170" s="130"/>
      <c r="AA170" s="130"/>
      <c r="AB170" s="130"/>
      <c r="AC170" s="130"/>
      <c r="AD170" s="130"/>
    </row>
    <row r="171" ht="15.75" customHeight="1">
      <c r="A171" s="130"/>
      <c r="B171" s="131"/>
      <c r="C171" s="132"/>
      <c r="D171" s="133"/>
      <c r="E171" s="134"/>
      <c r="F171" s="133"/>
      <c r="G171" s="134"/>
      <c r="H171" s="132"/>
      <c r="I171" s="132"/>
      <c r="J171" s="135"/>
      <c r="K171" s="130"/>
      <c r="L171" s="130"/>
      <c r="M171" s="130"/>
      <c r="N171" s="130"/>
      <c r="O171" s="130"/>
      <c r="P171" s="130"/>
      <c r="Q171" s="130"/>
      <c r="R171" s="130"/>
      <c r="S171" s="130"/>
      <c r="T171" s="130"/>
      <c r="U171" s="130"/>
      <c r="V171" s="130"/>
      <c r="W171" s="130"/>
      <c r="X171" s="130"/>
      <c r="Y171" s="130"/>
      <c r="Z171" s="130"/>
      <c r="AA171" s="130"/>
      <c r="AB171" s="130"/>
      <c r="AC171" s="130"/>
      <c r="AD171" s="130"/>
    </row>
    <row r="172" ht="15.75" customHeight="1">
      <c r="A172" s="130"/>
      <c r="B172" s="131"/>
      <c r="C172" s="132"/>
      <c r="D172" s="133"/>
      <c r="E172" s="134"/>
      <c r="F172" s="133"/>
      <c r="G172" s="134"/>
      <c r="H172" s="132"/>
      <c r="I172" s="132"/>
      <c r="J172" s="135"/>
      <c r="K172" s="130"/>
      <c r="L172" s="130"/>
      <c r="M172" s="130"/>
      <c r="N172" s="130"/>
      <c r="O172" s="130"/>
      <c r="P172" s="130"/>
      <c r="Q172" s="130"/>
      <c r="R172" s="130"/>
      <c r="S172" s="130"/>
      <c r="T172" s="130"/>
      <c r="U172" s="130"/>
      <c r="V172" s="130"/>
      <c r="W172" s="130"/>
      <c r="X172" s="130"/>
      <c r="Y172" s="130"/>
      <c r="Z172" s="130"/>
      <c r="AA172" s="130"/>
      <c r="AB172" s="130"/>
      <c r="AC172" s="130"/>
      <c r="AD172" s="130"/>
    </row>
    <row r="173" ht="15.75" customHeight="1">
      <c r="A173" s="130"/>
      <c r="B173" s="131"/>
      <c r="C173" s="132"/>
      <c r="D173" s="133"/>
      <c r="E173" s="134"/>
      <c r="F173" s="133"/>
      <c r="G173" s="134"/>
      <c r="H173" s="132"/>
      <c r="I173" s="132"/>
      <c r="J173" s="135"/>
      <c r="K173" s="130"/>
      <c r="L173" s="130"/>
      <c r="M173" s="130"/>
      <c r="N173" s="130"/>
      <c r="O173" s="130"/>
      <c r="P173" s="130"/>
      <c r="Q173" s="130"/>
      <c r="R173" s="130"/>
      <c r="S173" s="130"/>
      <c r="T173" s="130"/>
      <c r="U173" s="130"/>
      <c r="V173" s="130"/>
      <c r="W173" s="130"/>
      <c r="X173" s="130"/>
      <c r="Y173" s="130"/>
      <c r="Z173" s="130"/>
      <c r="AA173" s="130"/>
      <c r="AB173" s="130"/>
      <c r="AC173" s="130"/>
      <c r="AD173" s="130"/>
    </row>
    <row r="174" ht="15.75" customHeight="1">
      <c r="A174" s="130"/>
      <c r="B174" s="131"/>
      <c r="C174" s="132"/>
      <c r="D174" s="133"/>
      <c r="E174" s="134"/>
      <c r="F174" s="133"/>
      <c r="G174" s="134"/>
      <c r="H174" s="132"/>
      <c r="I174" s="132"/>
      <c r="J174" s="135"/>
      <c r="K174" s="130"/>
      <c r="L174" s="130"/>
      <c r="M174" s="130"/>
      <c r="N174" s="130"/>
      <c r="O174" s="130"/>
      <c r="P174" s="130"/>
      <c r="Q174" s="130"/>
      <c r="R174" s="130"/>
      <c r="S174" s="130"/>
      <c r="T174" s="130"/>
      <c r="U174" s="130"/>
      <c r="V174" s="130"/>
      <c r="W174" s="130"/>
      <c r="X174" s="130"/>
      <c r="Y174" s="130"/>
      <c r="Z174" s="130"/>
      <c r="AA174" s="130"/>
      <c r="AB174" s="130"/>
      <c r="AC174" s="130"/>
      <c r="AD174" s="130"/>
    </row>
    <row r="175" ht="15.75" customHeight="1">
      <c r="A175" s="130"/>
      <c r="B175" s="131"/>
      <c r="C175" s="132"/>
      <c r="D175" s="133"/>
      <c r="E175" s="134"/>
      <c r="F175" s="133"/>
      <c r="G175" s="134"/>
      <c r="H175" s="132"/>
      <c r="I175" s="132"/>
      <c r="J175" s="135"/>
      <c r="K175" s="130"/>
      <c r="L175" s="130"/>
      <c r="M175" s="130"/>
      <c r="N175" s="130"/>
      <c r="O175" s="130"/>
      <c r="P175" s="130"/>
      <c r="Q175" s="130"/>
      <c r="R175" s="130"/>
      <c r="S175" s="130"/>
      <c r="T175" s="130"/>
      <c r="U175" s="130"/>
      <c r="V175" s="130"/>
      <c r="W175" s="130"/>
      <c r="X175" s="130"/>
      <c r="Y175" s="130"/>
      <c r="Z175" s="130"/>
      <c r="AA175" s="130"/>
      <c r="AB175" s="130"/>
      <c r="AC175" s="130"/>
      <c r="AD175" s="130"/>
    </row>
    <row r="176" ht="15.75" customHeight="1">
      <c r="A176" s="130"/>
      <c r="B176" s="131"/>
      <c r="C176" s="132"/>
      <c r="D176" s="133"/>
      <c r="E176" s="134"/>
      <c r="F176" s="133"/>
      <c r="G176" s="134"/>
      <c r="H176" s="132"/>
      <c r="I176" s="132"/>
      <c r="J176" s="135"/>
      <c r="K176" s="130"/>
      <c r="L176" s="130"/>
      <c r="M176" s="130"/>
      <c r="N176" s="130"/>
      <c r="O176" s="130"/>
      <c r="P176" s="130"/>
      <c r="Q176" s="130"/>
      <c r="R176" s="130"/>
      <c r="S176" s="130"/>
      <c r="T176" s="130"/>
      <c r="U176" s="130"/>
      <c r="V176" s="130"/>
      <c r="W176" s="130"/>
      <c r="X176" s="130"/>
      <c r="Y176" s="130"/>
      <c r="Z176" s="130"/>
      <c r="AA176" s="130"/>
      <c r="AB176" s="130"/>
      <c r="AC176" s="130"/>
      <c r="AD176" s="130"/>
    </row>
    <row r="177" ht="15.75" customHeight="1">
      <c r="A177" s="130"/>
      <c r="B177" s="131"/>
      <c r="C177" s="132"/>
      <c r="D177" s="133"/>
      <c r="E177" s="134"/>
      <c r="F177" s="133"/>
      <c r="G177" s="134"/>
      <c r="H177" s="132"/>
      <c r="I177" s="132"/>
      <c r="J177" s="135"/>
      <c r="K177" s="130"/>
      <c r="L177" s="130"/>
      <c r="M177" s="130"/>
      <c r="N177" s="130"/>
      <c r="O177" s="130"/>
      <c r="P177" s="130"/>
      <c r="Q177" s="130"/>
      <c r="R177" s="130"/>
      <c r="S177" s="130"/>
      <c r="T177" s="130"/>
      <c r="U177" s="130"/>
      <c r="V177" s="130"/>
      <c r="W177" s="130"/>
      <c r="X177" s="130"/>
      <c r="Y177" s="130"/>
      <c r="Z177" s="130"/>
      <c r="AA177" s="130"/>
      <c r="AB177" s="130"/>
      <c r="AC177" s="130"/>
      <c r="AD177" s="130"/>
    </row>
    <row r="178" ht="15.75" customHeight="1">
      <c r="A178" s="130"/>
      <c r="B178" s="131"/>
      <c r="C178" s="132"/>
      <c r="D178" s="133"/>
      <c r="E178" s="134"/>
      <c r="F178" s="133"/>
      <c r="G178" s="134"/>
      <c r="H178" s="132"/>
      <c r="I178" s="132"/>
      <c r="J178" s="135"/>
      <c r="K178" s="130"/>
      <c r="L178" s="130"/>
      <c r="M178" s="130"/>
      <c r="N178" s="130"/>
      <c r="O178" s="130"/>
      <c r="P178" s="130"/>
      <c r="Q178" s="130"/>
      <c r="R178" s="130"/>
      <c r="S178" s="130"/>
      <c r="T178" s="130"/>
      <c r="U178" s="130"/>
      <c r="V178" s="130"/>
      <c r="W178" s="130"/>
      <c r="X178" s="130"/>
      <c r="Y178" s="130"/>
      <c r="Z178" s="130"/>
      <c r="AA178" s="130"/>
      <c r="AB178" s="130"/>
      <c r="AC178" s="130"/>
      <c r="AD178" s="130"/>
    </row>
    <row r="179" ht="15.75" customHeight="1">
      <c r="A179" s="130"/>
      <c r="B179" s="131"/>
      <c r="C179" s="132"/>
      <c r="D179" s="133"/>
      <c r="E179" s="134"/>
      <c r="F179" s="133"/>
      <c r="G179" s="134"/>
      <c r="H179" s="132"/>
      <c r="I179" s="132"/>
      <c r="J179" s="135"/>
      <c r="K179" s="130"/>
      <c r="L179" s="130"/>
      <c r="M179" s="130"/>
      <c r="N179" s="130"/>
      <c r="O179" s="130"/>
      <c r="P179" s="130"/>
      <c r="Q179" s="130"/>
      <c r="R179" s="130"/>
      <c r="S179" s="130"/>
      <c r="T179" s="130"/>
      <c r="U179" s="130"/>
      <c r="V179" s="130"/>
      <c r="W179" s="130"/>
      <c r="X179" s="130"/>
      <c r="Y179" s="130"/>
      <c r="Z179" s="130"/>
      <c r="AA179" s="130"/>
      <c r="AB179" s="130"/>
      <c r="AC179" s="130"/>
      <c r="AD179" s="130"/>
    </row>
    <row r="180" ht="15.75" customHeight="1">
      <c r="A180" s="130"/>
      <c r="B180" s="131"/>
      <c r="C180" s="132"/>
      <c r="D180" s="133"/>
      <c r="E180" s="134"/>
      <c r="F180" s="133"/>
      <c r="G180" s="134"/>
      <c r="H180" s="132"/>
      <c r="I180" s="132"/>
      <c r="J180" s="135"/>
      <c r="K180" s="130"/>
      <c r="L180" s="130"/>
      <c r="M180" s="130"/>
      <c r="N180" s="130"/>
      <c r="O180" s="130"/>
      <c r="P180" s="130"/>
      <c r="Q180" s="130"/>
      <c r="R180" s="130"/>
      <c r="S180" s="130"/>
      <c r="T180" s="130"/>
      <c r="U180" s="130"/>
      <c r="V180" s="130"/>
      <c r="W180" s="130"/>
      <c r="X180" s="130"/>
      <c r="Y180" s="130"/>
      <c r="Z180" s="130"/>
      <c r="AA180" s="130"/>
      <c r="AB180" s="130"/>
      <c r="AC180" s="130"/>
      <c r="AD180" s="130"/>
    </row>
    <row r="181" ht="15.75" customHeight="1">
      <c r="A181" s="130"/>
      <c r="B181" s="131"/>
      <c r="C181" s="132"/>
      <c r="D181" s="133"/>
      <c r="E181" s="134"/>
      <c r="F181" s="133"/>
      <c r="G181" s="134"/>
      <c r="H181" s="132"/>
      <c r="I181" s="132"/>
      <c r="J181" s="135"/>
      <c r="K181" s="130"/>
      <c r="L181" s="130"/>
      <c r="M181" s="130"/>
      <c r="N181" s="130"/>
      <c r="O181" s="130"/>
      <c r="P181" s="130"/>
      <c r="Q181" s="130"/>
      <c r="R181" s="130"/>
      <c r="S181" s="130"/>
      <c r="T181" s="130"/>
      <c r="U181" s="130"/>
      <c r="V181" s="130"/>
      <c r="W181" s="130"/>
      <c r="X181" s="130"/>
      <c r="Y181" s="130"/>
      <c r="Z181" s="130"/>
      <c r="AA181" s="130"/>
      <c r="AB181" s="130"/>
      <c r="AC181" s="130"/>
      <c r="AD181" s="130"/>
    </row>
    <row r="182" ht="15.75" customHeight="1">
      <c r="A182" s="130"/>
      <c r="B182" s="131"/>
      <c r="C182" s="132"/>
      <c r="D182" s="133"/>
      <c r="E182" s="134"/>
      <c r="F182" s="133"/>
      <c r="G182" s="134"/>
      <c r="H182" s="132"/>
      <c r="I182" s="132"/>
      <c r="J182" s="135"/>
      <c r="K182" s="130"/>
      <c r="L182" s="130"/>
      <c r="M182" s="130"/>
      <c r="N182" s="130"/>
      <c r="O182" s="130"/>
      <c r="P182" s="130"/>
      <c r="Q182" s="130"/>
      <c r="R182" s="130"/>
      <c r="S182" s="130"/>
      <c r="T182" s="130"/>
      <c r="U182" s="130"/>
      <c r="V182" s="130"/>
      <c r="W182" s="130"/>
      <c r="X182" s="130"/>
      <c r="Y182" s="130"/>
      <c r="Z182" s="130"/>
      <c r="AA182" s="130"/>
      <c r="AB182" s="130"/>
      <c r="AC182" s="130"/>
      <c r="AD182" s="130"/>
    </row>
    <row r="183" ht="15.75" customHeight="1">
      <c r="A183" s="130"/>
      <c r="B183" s="131"/>
      <c r="C183" s="132"/>
      <c r="D183" s="133"/>
      <c r="E183" s="134"/>
      <c r="F183" s="133"/>
      <c r="G183" s="134"/>
      <c r="H183" s="132"/>
      <c r="I183" s="132"/>
      <c r="J183" s="135"/>
      <c r="K183" s="130"/>
      <c r="L183" s="130"/>
      <c r="M183" s="130"/>
      <c r="N183" s="130"/>
      <c r="O183" s="130"/>
      <c r="P183" s="130"/>
      <c r="Q183" s="130"/>
      <c r="R183" s="130"/>
      <c r="S183" s="130"/>
      <c r="T183" s="130"/>
      <c r="U183" s="130"/>
      <c r="V183" s="130"/>
      <c r="W183" s="130"/>
      <c r="X183" s="130"/>
      <c r="Y183" s="130"/>
      <c r="Z183" s="130"/>
      <c r="AA183" s="130"/>
      <c r="AB183" s="130"/>
      <c r="AC183" s="130"/>
      <c r="AD183" s="130"/>
    </row>
    <row r="184" ht="15.75" customHeight="1">
      <c r="A184" s="130"/>
      <c r="B184" s="131"/>
      <c r="C184" s="132"/>
      <c r="D184" s="133"/>
      <c r="E184" s="134"/>
      <c r="F184" s="133"/>
      <c r="G184" s="134"/>
      <c r="H184" s="132"/>
      <c r="I184" s="132"/>
      <c r="J184" s="135"/>
      <c r="K184" s="130"/>
      <c r="L184" s="130"/>
      <c r="M184" s="130"/>
      <c r="N184" s="130"/>
      <c r="O184" s="130"/>
      <c r="P184" s="130"/>
      <c r="Q184" s="130"/>
      <c r="R184" s="130"/>
      <c r="S184" s="130"/>
      <c r="T184" s="130"/>
      <c r="U184" s="130"/>
      <c r="V184" s="130"/>
      <c r="W184" s="130"/>
      <c r="X184" s="130"/>
      <c r="Y184" s="130"/>
      <c r="Z184" s="130"/>
      <c r="AA184" s="130"/>
      <c r="AB184" s="130"/>
      <c r="AC184" s="130"/>
      <c r="AD184" s="130"/>
    </row>
    <row r="185" ht="15.75" customHeight="1">
      <c r="A185" s="130"/>
      <c r="B185" s="131"/>
      <c r="C185" s="132"/>
      <c r="D185" s="133"/>
      <c r="E185" s="134"/>
      <c r="F185" s="133"/>
      <c r="G185" s="134"/>
      <c r="H185" s="132"/>
      <c r="I185" s="132"/>
      <c r="J185" s="135"/>
      <c r="K185" s="130"/>
      <c r="L185" s="130"/>
      <c r="M185" s="130"/>
      <c r="N185" s="130"/>
      <c r="O185" s="130"/>
      <c r="P185" s="130"/>
      <c r="Q185" s="130"/>
      <c r="R185" s="130"/>
      <c r="S185" s="130"/>
      <c r="T185" s="130"/>
      <c r="U185" s="130"/>
      <c r="V185" s="130"/>
      <c r="W185" s="130"/>
      <c r="X185" s="130"/>
      <c r="Y185" s="130"/>
      <c r="Z185" s="130"/>
      <c r="AA185" s="130"/>
      <c r="AB185" s="130"/>
      <c r="AC185" s="130"/>
      <c r="AD185" s="130"/>
    </row>
    <row r="186" ht="15.75" customHeight="1">
      <c r="A186" s="130"/>
      <c r="B186" s="131"/>
      <c r="C186" s="132"/>
      <c r="D186" s="133"/>
      <c r="E186" s="134"/>
      <c r="F186" s="133"/>
      <c r="G186" s="134"/>
      <c r="H186" s="132"/>
      <c r="I186" s="132"/>
      <c r="J186" s="135"/>
      <c r="K186" s="130"/>
      <c r="L186" s="130"/>
      <c r="M186" s="130"/>
      <c r="N186" s="130"/>
      <c r="O186" s="130"/>
      <c r="P186" s="130"/>
      <c r="Q186" s="130"/>
      <c r="R186" s="130"/>
      <c r="S186" s="130"/>
      <c r="T186" s="130"/>
      <c r="U186" s="130"/>
      <c r="V186" s="130"/>
      <c r="W186" s="130"/>
      <c r="X186" s="130"/>
      <c r="Y186" s="130"/>
      <c r="Z186" s="130"/>
      <c r="AA186" s="130"/>
      <c r="AB186" s="130"/>
      <c r="AC186" s="130"/>
      <c r="AD186" s="130"/>
    </row>
    <row r="187" ht="15.75" customHeight="1">
      <c r="A187" s="130"/>
      <c r="B187" s="131"/>
      <c r="C187" s="132"/>
      <c r="D187" s="133"/>
      <c r="E187" s="134"/>
      <c r="F187" s="133"/>
      <c r="G187" s="134"/>
      <c r="H187" s="132"/>
      <c r="I187" s="132"/>
      <c r="J187" s="135"/>
      <c r="K187" s="130"/>
      <c r="L187" s="130"/>
      <c r="M187" s="130"/>
      <c r="N187" s="130"/>
      <c r="O187" s="130"/>
      <c r="P187" s="130"/>
      <c r="Q187" s="130"/>
      <c r="R187" s="130"/>
      <c r="S187" s="130"/>
      <c r="T187" s="130"/>
      <c r="U187" s="130"/>
      <c r="V187" s="130"/>
      <c r="W187" s="130"/>
      <c r="X187" s="130"/>
      <c r="Y187" s="130"/>
      <c r="Z187" s="130"/>
      <c r="AA187" s="130"/>
      <c r="AB187" s="130"/>
      <c r="AC187" s="130"/>
      <c r="AD187" s="130"/>
    </row>
    <row r="188" ht="15.75" customHeight="1">
      <c r="A188" s="130"/>
      <c r="B188" s="131"/>
      <c r="C188" s="132"/>
      <c r="D188" s="133"/>
      <c r="E188" s="134"/>
      <c r="F188" s="133"/>
      <c r="G188" s="134"/>
      <c r="H188" s="132"/>
      <c r="I188" s="132"/>
      <c r="J188" s="135"/>
      <c r="K188" s="130"/>
      <c r="L188" s="130"/>
      <c r="M188" s="130"/>
      <c r="N188" s="130"/>
      <c r="O188" s="130"/>
      <c r="P188" s="130"/>
      <c r="Q188" s="130"/>
      <c r="R188" s="130"/>
      <c r="S188" s="130"/>
      <c r="T188" s="130"/>
      <c r="U188" s="130"/>
      <c r="V188" s="130"/>
      <c r="W188" s="130"/>
      <c r="X188" s="130"/>
      <c r="Y188" s="130"/>
      <c r="Z188" s="130"/>
      <c r="AA188" s="130"/>
      <c r="AB188" s="130"/>
      <c r="AC188" s="130"/>
      <c r="AD188" s="130"/>
    </row>
    <row r="189" ht="15.75" customHeight="1">
      <c r="A189" s="130"/>
      <c r="B189" s="131"/>
      <c r="C189" s="132"/>
      <c r="D189" s="133"/>
      <c r="E189" s="134"/>
      <c r="F189" s="133"/>
      <c r="G189" s="134"/>
      <c r="H189" s="132"/>
      <c r="I189" s="132"/>
      <c r="J189" s="135"/>
      <c r="K189" s="130"/>
      <c r="L189" s="130"/>
      <c r="M189" s="130"/>
      <c r="N189" s="130"/>
      <c r="O189" s="130"/>
      <c r="P189" s="130"/>
      <c r="Q189" s="130"/>
      <c r="R189" s="130"/>
      <c r="S189" s="130"/>
      <c r="T189" s="130"/>
      <c r="U189" s="130"/>
      <c r="V189" s="130"/>
      <c r="W189" s="130"/>
      <c r="X189" s="130"/>
      <c r="Y189" s="130"/>
      <c r="Z189" s="130"/>
      <c r="AA189" s="130"/>
      <c r="AB189" s="130"/>
      <c r="AC189" s="130"/>
      <c r="AD189" s="130"/>
    </row>
    <row r="190" ht="15.75" customHeight="1">
      <c r="A190" s="130"/>
      <c r="B190" s="131"/>
      <c r="C190" s="132"/>
      <c r="D190" s="133"/>
      <c r="E190" s="134"/>
      <c r="F190" s="133"/>
      <c r="G190" s="134"/>
      <c r="H190" s="132"/>
      <c r="I190" s="132"/>
      <c r="J190" s="135"/>
      <c r="K190" s="130"/>
      <c r="L190" s="130"/>
      <c r="M190" s="130"/>
      <c r="N190" s="130"/>
      <c r="O190" s="130"/>
      <c r="P190" s="130"/>
      <c r="Q190" s="130"/>
      <c r="R190" s="130"/>
      <c r="S190" s="130"/>
      <c r="T190" s="130"/>
      <c r="U190" s="130"/>
      <c r="V190" s="130"/>
      <c r="W190" s="130"/>
      <c r="X190" s="130"/>
      <c r="Y190" s="130"/>
      <c r="Z190" s="130"/>
      <c r="AA190" s="130"/>
      <c r="AB190" s="130"/>
      <c r="AC190" s="130"/>
      <c r="AD190" s="130"/>
    </row>
    <row r="191" ht="15.75" customHeight="1">
      <c r="A191" s="130"/>
      <c r="B191" s="131"/>
      <c r="C191" s="132"/>
      <c r="D191" s="133"/>
      <c r="E191" s="134"/>
      <c r="F191" s="133"/>
      <c r="G191" s="134"/>
      <c r="H191" s="132"/>
      <c r="I191" s="132"/>
      <c r="J191" s="135"/>
      <c r="K191" s="130"/>
      <c r="L191" s="130"/>
      <c r="M191" s="130"/>
      <c r="N191" s="130"/>
      <c r="O191" s="130"/>
      <c r="P191" s="130"/>
      <c r="Q191" s="130"/>
      <c r="R191" s="130"/>
      <c r="S191" s="130"/>
      <c r="T191" s="130"/>
      <c r="U191" s="130"/>
      <c r="V191" s="130"/>
      <c r="W191" s="130"/>
      <c r="X191" s="130"/>
      <c r="Y191" s="130"/>
      <c r="Z191" s="130"/>
      <c r="AA191" s="130"/>
      <c r="AB191" s="130"/>
      <c r="AC191" s="130"/>
      <c r="AD191" s="130"/>
    </row>
    <row r="192" ht="15.75" customHeight="1">
      <c r="A192" s="130"/>
      <c r="B192" s="131"/>
      <c r="C192" s="132"/>
      <c r="D192" s="133"/>
      <c r="E192" s="134"/>
      <c r="F192" s="133"/>
      <c r="G192" s="134"/>
      <c r="H192" s="132"/>
      <c r="I192" s="132"/>
      <c r="J192" s="135"/>
      <c r="K192" s="130"/>
      <c r="L192" s="130"/>
      <c r="M192" s="130"/>
      <c r="N192" s="130"/>
      <c r="O192" s="130"/>
      <c r="P192" s="130"/>
      <c r="Q192" s="130"/>
      <c r="R192" s="130"/>
      <c r="S192" s="130"/>
      <c r="T192" s="130"/>
      <c r="U192" s="130"/>
      <c r="V192" s="130"/>
      <c r="W192" s="130"/>
      <c r="X192" s="130"/>
      <c r="Y192" s="130"/>
      <c r="Z192" s="130"/>
      <c r="AA192" s="130"/>
      <c r="AB192" s="130"/>
      <c r="AC192" s="130"/>
      <c r="AD192" s="130"/>
    </row>
    <row r="193" ht="15.75" customHeight="1">
      <c r="A193" s="130"/>
      <c r="B193" s="131"/>
      <c r="C193" s="132"/>
      <c r="D193" s="133"/>
      <c r="E193" s="134"/>
      <c r="F193" s="133"/>
      <c r="G193" s="134"/>
      <c r="H193" s="132"/>
      <c r="I193" s="132"/>
      <c r="J193" s="135"/>
      <c r="K193" s="130"/>
      <c r="L193" s="130"/>
      <c r="M193" s="130"/>
      <c r="N193" s="130"/>
      <c r="O193" s="130"/>
      <c r="P193" s="130"/>
      <c r="Q193" s="130"/>
      <c r="R193" s="130"/>
      <c r="S193" s="130"/>
      <c r="T193" s="130"/>
      <c r="U193" s="130"/>
      <c r="V193" s="130"/>
      <c r="W193" s="130"/>
      <c r="X193" s="130"/>
      <c r="Y193" s="130"/>
      <c r="Z193" s="130"/>
      <c r="AA193" s="130"/>
      <c r="AB193" s="130"/>
      <c r="AC193" s="130"/>
      <c r="AD193" s="130"/>
    </row>
    <row r="194" ht="15.75" customHeight="1">
      <c r="A194" s="130"/>
      <c r="B194" s="131"/>
      <c r="C194" s="132"/>
      <c r="D194" s="133"/>
      <c r="E194" s="134"/>
      <c r="F194" s="133"/>
      <c r="G194" s="134"/>
      <c r="H194" s="132"/>
      <c r="I194" s="132"/>
      <c r="J194" s="135"/>
      <c r="K194" s="130"/>
      <c r="L194" s="130"/>
      <c r="M194" s="130"/>
      <c r="N194" s="130"/>
      <c r="O194" s="130"/>
      <c r="P194" s="130"/>
      <c r="Q194" s="130"/>
      <c r="R194" s="130"/>
      <c r="S194" s="130"/>
      <c r="T194" s="130"/>
      <c r="U194" s="130"/>
      <c r="V194" s="130"/>
      <c r="W194" s="130"/>
      <c r="X194" s="130"/>
      <c r="Y194" s="130"/>
      <c r="Z194" s="130"/>
      <c r="AA194" s="130"/>
      <c r="AB194" s="130"/>
      <c r="AC194" s="130"/>
      <c r="AD194" s="130"/>
    </row>
    <row r="195" ht="15.75" customHeight="1">
      <c r="A195" s="130"/>
      <c r="B195" s="131"/>
      <c r="C195" s="132"/>
      <c r="D195" s="133"/>
      <c r="E195" s="134"/>
      <c r="F195" s="133"/>
      <c r="G195" s="134"/>
      <c r="H195" s="132"/>
      <c r="I195" s="132"/>
      <c r="J195" s="135"/>
      <c r="K195" s="130"/>
      <c r="L195" s="130"/>
      <c r="M195" s="130"/>
      <c r="N195" s="130"/>
      <c r="O195" s="130"/>
      <c r="P195" s="130"/>
      <c r="Q195" s="130"/>
      <c r="R195" s="130"/>
      <c r="S195" s="130"/>
      <c r="T195" s="130"/>
      <c r="U195" s="130"/>
      <c r="V195" s="130"/>
      <c r="W195" s="130"/>
      <c r="X195" s="130"/>
      <c r="Y195" s="130"/>
      <c r="Z195" s="130"/>
      <c r="AA195" s="130"/>
      <c r="AB195" s="130"/>
      <c r="AC195" s="130"/>
      <c r="AD195" s="130"/>
    </row>
    <row r="196" ht="15.75" customHeight="1">
      <c r="A196" s="130"/>
      <c r="B196" s="131"/>
      <c r="C196" s="132"/>
      <c r="D196" s="133"/>
      <c r="E196" s="134"/>
      <c r="F196" s="133"/>
      <c r="G196" s="134"/>
      <c r="H196" s="132"/>
      <c r="I196" s="132"/>
      <c r="J196" s="135"/>
      <c r="K196" s="130"/>
      <c r="L196" s="130"/>
      <c r="M196" s="130"/>
      <c r="N196" s="130"/>
      <c r="O196" s="130"/>
      <c r="P196" s="130"/>
      <c r="Q196" s="130"/>
      <c r="R196" s="130"/>
      <c r="S196" s="130"/>
      <c r="T196" s="130"/>
      <c r="U196" s="130"/>
      <c r="V196" s="130"/>
      <c r="W196" s="130"/>
      <c r="X196" s="130"/>
      <c r="Y196" s="130"/>
      <c r="Z196" s="130"/>
      <c r="AA196" s="130"/>
      <c r="AB196" s="130"/>
      <c r="AC196" s="130"/>
      <c r="AD196" s="130"/>
    </row>
    <row r="197" ht="15.75" customHeight="1">
      <c r="A197" s="130"/>
      <c r="B197" s="131"/>
      <c r="C197" s="132"/>
      <c r="D197" s="133"/>
      <c r="E197" s="134"/>
      <c r="F197" s="133"/>
      <c r="G197" s="134"/>
      <c r="H197" s="132"/>
      <c r="I197" s="132"/>
      <c r="J197" s="135"/>
      <c r="K197" s="130"/>
      <c r="L197" s="130"/>
      <c r="M197" s="130"/>
      <c r="N197" s="130"/>
      <c r="O197" s="130"/>
      <c r="P197" s="130"/>
      <c r="Q197" s="130"/>
      <c r="R197" s="130"/>
      <c r="S197" s="130"/>
      <c r="T197" s="130"/>
      <c r="U197" s="130"/>
      <c r="V197" s="130"/>
      <c r="W197" s="130"/>
      <c r="X197" s="130"/>
      <c r="Y197" s="130"/>
      <c r="Z197" s="130"/>
      <c r="AA197" s="130"/>
      <c r="AB197" s="130"/>
      <c r="AC197" s="130"/>
      <c r="AD197" s="130"/>
    </row>
    <row r="198" ht="15.75" customHeight="1">
      <c r="A198" s="130"/>
      <c r="B198" s="131"/>
      <c r="C198" s="132"/>
      <c r="D198" s="133"/>
      <c r="E198" s="134"/>
      <c r="F198" s="133"/>
      <c r="G198" s="134"/>
      <c r="H198" s="132"/>
      <c r="I198" s="132"/>
      <c r="J198" s="135"/>
      <c r="K198" s="130"/>
      <c r="L198" s="130"/>
      <c r="M198" s="130"/>
      <c r="N198" s="130"/>
      <c r="O198" s="130"/>
      <c r="P198" s="130"/>
      <c r="Q198" s="130"/>
      <c r="R198" s="130"/>
      <c r="S198" s="130"/>
      <c r="T198" s="130"/>
      <c r="U198" s="130"/>
      <c r="V198" s="130"/>
      <c r="W198" s="130"/>
      <c r="X198" s="130"/>
      <c r="Y198" s="130"/>
      <c r="Z198" s="130"/>
      <c r="AA198" s="130"/>
      <c r="AB198" s="130"/>
      <c r="AC198" s="130"/>
      <c r="AD198" s="130"/>
    </row>
    <row r="199" ht="15.75" customHeight="1">
      <c r="A199" s="130"/>
      <c r="B199" s="131"/>
      <c r="C199" s="132"/>
      <c r="D199" s="133"/>
      <c r="E199" s="134"/>
      <c r="F199" s="133"/>
      <c r="G199" s="134"/>
      <c r="H199" s="132"/>
      <c r="I199" s="132"/>
      <c r="J199" s="135"/>
      <c r="K199" s="130"/>
      <c r="L199" s="130"/>
      <c r="M199" s="130"/>
      <c r="N199" s="130"/>
      <c r="O199" s="130"/>
      <c r="P199" s="130"/>
      <c r="Q199" s="130"/>
      <c r="R199" s="130"/>
      <c r="S199" s="130"/>
      <c r="T199" s="130"/>
      <c r="U199" s="130"/>
      <c r="V199" s="130"/>
      <c r="W199" s="130"/>
      <c r="X199" s="130"/>
      <c r="Y199" s="130"/>
      <c r="Z199" s="130"/>
      <c r="AA199" s="130"/>
      <c r="AB199" s="130"/>
      <c r="AC199" s="130"/>
      <c r="AD199" s="130"/>
    </row>
    <row r="200" ht="15.75" customHeight="1">
      <c r="A200" s="130"/>
      <c r="B200" s="131"/>
      <c r="C200" s="132"/>
      <c r="D200" s="133"/>
      <c r="E200" s="134"/>
      <c r="F200" s="133"/>
      <c r="G200" s="134"/>
      <c r="H200" s="132"/>
      <c r="I200" s="132"/>
      <c r="J200" s="135"/>
      <c r="K200" s="130"/>
      <c r="L200" s="130"/>
      <c r="M200" s="130"/>
      <c r="N200" s="130"/>
      <c r="O200" s="130"/>
      <c r="P200" s="130"/>
      <c r="Q200" s="130"/>
      <c r="R200" s="130"/>
      <c r="S200" s="130"/>
      <c r="T200" s="130"/>
      <c r="U200" s="130"/>
      <c r="V200" s="130"/>
      <c r="W200" s="130"/>
      <c r="X200" s="130"/>
      <c r="Y200" s="130"/>
      <c r="Z200" s="130"/>
      <c r="AA200" s="130"/>
      <c r="AB200" s="130"/>
      <c r="AC200" s="130"/>
      <c r="AD200" s="130"/>
    </row>
    <row r="201" ht="15.75" customHeight="1">
      <c r="A201" s="130"/>
      <c r="B201" s="131"/>
      <c r="C201" s="132"/>
      <c r="D201" s="133"/>
      <c r="E201" s="134"/>
      <c r="F201" s="133"/>
      <c r="G201" s="134"/>
      <c r="H201" s="132"/>
      <c r="I201" s="132"/>
      <c r="J201" s="135"/>
      <c r="K201" s="130"/>
      <c r="L201" s="130"/>
      <c r="M201" s="130"/>
      <c r="N201" s="130"/>
      <c r="O201" s="130"/>
      <c r="P201" s="130"/>
      <c r="Q201" s="130"/>
      <c r="R201" s="130"/>
      <c r="S201" s="130"/>
      <c r="T201" s="130"/>
      <c r="U201" s="130"/>
      <c r="V201" s="130"/>
      <c r="W201" s="130"/>
      <c r="X201" s="130"/>
      <c r="Y201" s="130"/>
      <c r="Z201" s="130"/>
      <c r="AA201" s="130"/>
      <c r="AB201" s="130"/>
      <c r="AC201" s="130"/>
      <c r="AD201" s="130"/>
    </row>
    <row r="202" ht="15.75" customHeight="1">
      <c r="A202" s="130"/>
      <c r="B202" s="131"/>
      <c r="C202" s="132"/>
      <c r="D202" s="133"/>
      <c r="E202" s="134"/>
      <c r="F202" s="133"/>
      <c r="G202" s="134"/>
      <c r="H202" s="132"/>
      <c r="I202" s="132"/>
      <c r="J202" s="135"/>
      <c r="K202" s="130"/>
      <c r="L202" s="130"/>
      <c r="M202" s="130"/>
      <c r="N202" s="130"/>
      <c r="O202" s="130"/>
      <c r="P202" s="130"/>
      <c r="Q202" s="130"/>
      <c r="R202" s="130"/>
      <c r="S202" s="130"/>
      <c r="T202" s="130"/>
      <c r="U202" s="130"/>
      <c r="V202" s="130"/>
      <c r="W202" s="130"/>
      <c r="X202" s="130"/>
      <c r="Y202" s="130"/>
      <c r="Z202" s="130"/>
      <c r="AA202" s="130"/>
      <c r="AB202" s="130"/>
      <c r="AC202" s="130"/>
      <c r="AD202" s="130"/>
    </row>
    <row r="203" ht="15.75" customHeight="1">
      <c r="A203" s="130"/>
      <c r="B203" s="131"/>
      <c r="C203" s="132"/>
      <c r="D203" s="133"/>
      <c r="E203" s="134"/>
      <c r="F203" s="133"/>
      <c r="G203" s="134"/>
      <c r="H203" s="132"/>
      <c r="I203" s="132"/>
      <c r="J203" s="135"/>
      <c r="K203" s="130"/>
      <c r="L203" s="130"/>
      <c r="M203" s="130"/>
      <c r="N203" s="130"/>
      <c r="O203" s="130"/>
      <c r="P203" s="130"/>
      <c r="Q203" s="130"/>
      <c r="R203" s="130"/>
      <c r="S203" s="130"/>
      <c r="T203" s="130"/>
      <c r="U203" s="130"/>
      <c r="V203" s="130"/>
      <c r="W203" s="130"/>
      <c r="X203" s="130"/>
      <c r="Y203" s="130"/>
      <c r="Z203" s="130"/>
      <c r="AA203" s="130"/>
      <c r="AB203" s="130"/>
      <c r="AC203" s="130"/>
      <c r="AD203" s="130"/>
    </row>
    <row r="204" ht="15.75" customHeight="1">
      <c r="A204" s="130"/>
      <c r="B204" s="131"/>
      <c r="C204" s="132"/>
      <c r="D204" s="133"/>
      <c r="E204" s="134"/>
      <c r="F204" s="133"/>
      <c r="G204" s="134"/>
      <c r="H204" s="132"/>
      <c r="I204" s="132"/>
      <c r="J204" s="135"/>
      <c r="K204" s="130"/>
      <c r="L204" s="130"/>
      <c r="M204" s="130"/>
      <c r="N204" s="130"/>
      <c r="O204" s="130"/>
      <c r="P204" s="130"/>
      <c r="Q204" s="130"/>
      <c r="R204" s="130"/>
      <c r="S204" s="130"/>
      <c r="T204" s="130"/>
      <c r="U204" s="130"/>
      <c r="V204" s="130"/>
      <c r="W204" s="130"/>
      <c r="X204" s="130"/>
      <c r="Y204" s="130"/>
      <c r="Z204" s="130"/>
      <c r="AA204" s="130"/>
      <c r="AB204" s="130"/>
      <c r="AC204" s="130"/>
      <c r="AD204" s="130"/>
    </row>
    <row r="205" ht="15.75" customHeight="1">
      <c r="A205" s="130"/>
      <c r="B205" s="131"/>
      <c r="C205" s="132"/>
      <c r="D205" s="133"/>
      <c r="E205" s="134"/>
      <c r="F205" s="133"/>
      <c r="G205" s="134"/>
      <c r="H205" s="132"/>
      <c r="I205" s="132"/>
      <c r="J205" s="135"/>
      <c r="K205" s="130"/>
      <c r="L205" s="130"/>
      <c r="M205" s="130"/>
      <c r="N205" s="130"/>
      <c r="O205" s="130"/>
      <c r="P205" s="130"/>
      <c r="Q205" s="130"/>
      <c r="R205" s="130"/>
      <c r="S205" s="130"/>
      <c r="T205" s="130"/>
      <c r="U205" s="130"/>
      <c r="V205" s="130"/>
      <c r="W205" s="130"/>
      <c r="X205" s="130"/>
      <c r="Y205" s="130"/>
      <c r="Z205" s="130"/>
      <c r="AA205" s="130"/>
      <c r="AB205" s="130"/>
      <c r="AC205" s="130"/>
      <c r="AD205" s="130"/>
    </row>
    <row r="206" ht="15.75" customHeight="1">
      <c r="A206" s="130"/>
      <c r="B206" s="131"/>
      <c r="C206" s="132"/>
      <c r="D206" s="133"/>
      <c r="E206" s="134"/>
      <c r="F206" s="133"/>
      <c r="G206" s="134"/>
      <c r="H206" s="132"/>
      <c r="I206" s="132"/>
      <c r="J206" s="135"/>
      <c r="K206" s="130"/>
      <c r="L206" s="130"/>
      <c r="M206" s="130"/>
      <c r="N206" s="130"/>
      <c r="O206" s="130"/>
      <c r="P206" s="130"/>
      <c r="Q206" s="130"/>
      <c r="R206" s="130"/>
      <c r="S206" s="130"/>
      <c r="T206" s="130"/>
      <c r="U206" s="130"/>
      <c r="V206" s="130"/>
      <c r="W206" s="130"/>
      <c r="X206" s="130"/>
      <c r="Y206" s="130"/>
      <c r="Z206" s="130"/>
      <c r="AA206" s="130"/>
      <c r="AB206" s="130"/>
      <c r="AC206" s="130"/>
      <c r="AD206" s="130"/>
    </row>
    <row r="207" ht="15.75" customHeight="1">
      <c r="A207" s="130"/>
      <c r="B207" s="131"/>
      <c r="C207" s="132"/>
      <c r="D207" s="133"/>
      <c r="E207" s="134"/>
      <c r="F207" s="133"/>
      <c r="G207" s="134"/>
      <c r="H207" s="132"/>
      <c r="I207" s="132"/>
      <c r="J207" s="135"/>
      <c r="K207" s="130"/>
      <c r="L207" s="130"/>
      <c r="M207" s="130"/>
      <c r="N207" s="130"/>
      <c r="O207" s="130"/>
      <c r="P207" s="130"/>
      <c r="Q207" s="130"/>
      <c r="R207" s="130"/>
      <c r="S207" s="130"/>
      <c r="T207" s="130"/>
      <c r="U207" s="130"/>
      <c r="V207" s="130"/>
      <c r="W207" s="130"/>
      <c r="X207" s="130"/>
      <c r="Y207" s="130"/>
      <c r="Z207" s="130"/>
      <c r="AA207" s="130"/>
      <c r="AB207" s="130"/>
      <c r="AC207" s="130"/>
      <c r="AD207" s="130"/>
    </row>
    <row r="208" ht="15.75" customHeight="1">
      <c r="A208" s="130"/>
      <c r="B208" s="131"/>
      <c r="C208" s="132"/>
      <c r="D208" s="133"/>
      <c r="E208" s="134"/>
      <c r="F208" s="133"/>
      <c r="G208" s="134"/>
      <c r="H208" s="132"/>
      <c r="I208" s="132"/>
      <c r="J208" s="135"/>
      <c r="K208" s="130"/>
      <c r="L208" s="130"/>
      <c r="M208" s="130"/>
      <c r="N208" s="130"/>
      <c r="O208" s="130"/>
      <c r="P208" s="130"/>
      <c r="Q208" s="130"/>
      <c r="R208" s="130"/>
      <c r="S208" s="130"/>
      <c r="T208" s="130"/>
      <c r="U208" s="130"/>
      <c r="V208" s="130"/>
      <c r="W208" s="130"/>
      <c r="X208" s="130"/>
      <c r="Y208" s="130"/>
      <c r="Z208" s="130"/>
      <c r="AA208" s="130"/>
      <c r="AB208" s="130"/>
      <c r="AC208" s="130"/>
      <c r="AD208" s="130"/>
    </row>
    <row r="209" ht="15.75" customHeight="1">
      <c r="A209" s="130"/>
      <c r="B209" s="131"/>
      <c r="C209" s="132"/>
      <c r="D209" s="133"/>
      <c r="E209" s="134"/>
      <c r="F209" s="133"/>
      <c r="G209" s="134"/>
      <c r="H209" s="132"/>
      <c r="I209" s="132"/>
      <c r="J209" s="135"/>
      <c r="K209" s="130"/>
      <c r="L209" s="130"/>
      <c r="M209" s="130"/>
      <c r="N209" s="130"/>
      <c r="O209" s="130"/>
      <c r="P209" s="130"/>
      <c r="Q209" s="130"/>
      <c r="R209" s="130"/>
      <c r="S209" s="130"/>
      <c r="T209" s="130"/>
      <c r="U209" s="130"/>
      <c r="V209" s="130"/>
      <c r="W209" s="130"/>
      <c r="X209" s="130"/>
      <c r="Y209" s="130"/>
      <c r="Z209" s="130"/>
      <c r="AA209" s="130"/>
      <c r="AB209" s="130"/>
      <c r="AC209" s="130"/>
      <c r="AD209" s="130"/>
    </row>
    <row r="210" ht="15.75" customHeight="1">
      <c r="A210" s="130"/>
      <c r="B210" s="131"/>
      <c r="C210" s="132"/>
      <c r="D210" s="133"/>
      <c r="E210" s="134"/>
      <c r="F210" s="133"/>
      <c r="G210" s="134"/>
      <c r="H210" s="132"/>
      <c r="I210" s="132"/>
      <c r="J210" s="135"/>
      <c r="K210" s="130"/>
      <c r="L210" s="130"/>
      <c r="M210" s="130"/>
      <c r="N210" s="130"/>
      <c r="O210" s="130"/>
      <c r="P210" s="130"/>
      <c r="Q210" s="130"/>
      <c r="R210" s="130"/>
      <c r="S210" s="130"/>
      <c r="T210" s="130"/>
      <c r="U210" s="130"/>
      <c r="V210" s="130"/>
      <c r="W210" s="130"/>
      <c r="X210" s="130"/>
      <c r="Y210" s="130"/>
      <c r="Z210" s="130"/>
      <c r="AA210" s="130"/>
      <c r="AB210" s="130"/>
      <c r="AC210" s="130"/>
      <c r="AD210" s="130"/>
    </row>
    <row r="211" ht="15.75" customHeight="1">
      <c r="A211" s="130"/>
      <c r="B211" s="131"/>
      <c r="C211" s="132"/>
      <c r="D211" s="133"/>
      <c r="E211" s="134"/>
      <c r="F211" s="133"/>
      <c r="G211" s="134"/>
      <c r="H211" s="132"/>
      <c r="I211" s="132"/>
      <c r="J211" s="135"/>
      <c r="K211" s="130"/>
      <c r="L211" s="130"/>
      <c r="M211" s="130"/>
      <c r="N211" s="130"/>
      <c r="O211" s="130"/>
      <c r="P211" s="130"/>
      <c r="Q211" s="130"/>
      <c r="R211" s="130"/>
      <c r="S211" s="130"/>
      <c r="T211" s="130"/>
      <c r="U211" s="130"/>
      <c r="V211" s="130"/>
      <c r="W211" s="130"/>
      <c r="X211" s="130"/>
      <c r="Y211" s="130"/>
      <c r="Z211" s="130"/>
      <c r="AA211" s="130"/>
      <c r="AB211" s="130"/>
      <c r="AC211" s="130"/>
      <c r="AD211" s="130"/>
    </row>
    <row r="212" ht="15.75" customHeight="1">
      <c r="A212" s="130"/>
      <c r="B212" s="131"/>
      <c r="C212" s="132"/>
      <c r="D212" s="133"/>
      <c r="E212" s="134"/>
      <c r="F212" s="133"/>
      <c r="G212" s="134"/>
      <c r="H212" s="132"/>
      <c r="I212" s="132"/>
      <c r="J212" s="135"/>
      <c r="K212" s="130"/>
      <c r="L212" s="130"/>
      <c r="M212" s="130"/>
      <c r="N212" s="130"/>
      <c r="O212" s="130"/>
      <c r="P212" s="130"/>
      <c r="Q212" s="130"/>
      <c r="R212" s="130"/>
      <c r="S212" s="130"/>
      <c r="T212" s="130"/>
      <c r="U212" s="130"/>
      <c r="V212" s="130"/>
      <c r="W212" s="130"/>
      <c r="X212" s="130"/>
      <c r="Y212" s="130"/>
      <c r="Z212" s="130"/>
      <c r="AA212" s="130"/>
      <c r="AB212" s="130"/>
      <c r="AC212" s="130"/>
      <c r="AD212" s="130"/>
    </row>
    <row r="213" ht="15.75" customHeight="1">
      <c r="A213" s="130"/>
      <c r="B213" s="131"/>
      <c r="C213" s="132"/>
      <c r="D213" s="133"/>
      <c r="E213" s="134"/>
      <c r="F213" s="133"/>
      <c r="G213" s="134"/>
      <c r="H213" s="132"/>
      <c r="I213" s="132"/>
      <c r="J213" s="135"/>
      <c r="K213" s="130"/>
      <c r="L213" s="130"/>
      <c r="M213" s="130"/>
      <c r="N213" s="130"/>
      <c r="O213" s="130"/>
      <c r="P213" s="130"/>
      <c r="Q213" s="130"/>
      <c r="R213" s="130"/>
      <c r="S213" s="130"/>
      <c r="T213" s="130"/>
      <c r="U213" s="130"/>
      <c r="V213" s="130"/>
      <c r="W213" s="130"/>
      <c r="X213" s="130"/>
      <c r="Y213" s="130"/>
      <c r="Z213" s="130"/>
      <c r="AA213" s="130"/>
      <c r="AB213" s="130"/>
      <c r="AC213" s="130"/>
      <c r="AD213" s="130"/>
    </row>
    <row r="214" ht="15.75" customHeight="1">
      <c r="A214" s="130"/>
      <c r="B214" s="131"/>
      <c r="C214" s="132"/>
      <c r="D214" s="133"/>
      <c r="E214" s="134"/>
      <c r="F214" s="133"/>
      <c r="G214" s="134"/>
      <c r="H214" s="132"/>
      <c r="I214" s="132"/>
      <c r="J214" s="135"/>
      <c r="K214" s="130"/>
      <c r="L214" s="130"/>
      <c r="M214" s="130"/>
      <c r="N214" s="130"/>
      <c r="O214" s="130"/>
      <c r="P214" s="130"/>
      <c r="Q214" s="130"/>
      <c r="R214" s="130"/>
      <c r="S214" s="130"/>
      <c r="T214" s="130"/>
      <c r="U214" s="130"/>
      <c r="V214" s="130"/>
      <c r="W214" s="130"/>
      <c r="X214" s="130"/>
      <c r="Y214" s="130"/>
      <c r="Z214" s="130"/>
      <c r="AA214" s="130"/>
      <c r="AB214" s="130"/>
      <c r="AC214" s="130"/>
      <c r="AD214" s="130"/>
    </row>
    <row r="215" ht="15.75" customHeight="1">
      <c r="A215" s="130"/>
      <c r="B215" s="131"/>
      <c r="C215" s="132"/>
      <c r="D215" s="133"/>
      <c r="E215" s="134"/>
      <c r="F215" s="133"/>
      <c r="G215" s="134"/>
      <c r="H215" s="132"/>
      <c r="I215" s="132"/>
      <c r="J215" s="135"/>
      <c r="K215" s="130"/>
      <c r="L215" s="130"/>
      <c r="M215" s="130"/>
      <c r="N215" s="130"/>
      <c r="O215" s="130"/>
      <c r="P215" s="130"/>
      <c r="Q215" s="130"/>
      <c r="R215" s="130"/>
      <c r="S215" s="130"/>
      <c r="T215" s="130"/>
      <c r="U215" s="130"/>
      <c r="V215" s="130"/>
      <c r="W215" s="130"/>
      <c r="X215" s="130"/>
      <c r="Y215" s="130"/>
      <c r="Z215" s="130"/>
      <c r="AA215" s="130"/>
      <c r="AB215" s="130"/>
      <c r="AC215" s="130"/>
      <c r="AD215" s="130"/>
    </row>
    <row r="216" ht="15.75" customHeight="1">
      <c r="A216" s="130"/>
      <c r="B216" s="131"/>
      <c r="C216" s="132"/>
      <c r="D216" s="133"/>
      <c r="E216" s="134"/>
      <c r="F216" s="133"/>
      <c r="G216" s="134"/>
      <c r="H216" s="132"/>
      <c r="I216" s="132"/>
      <c r="J216" s="135"/>
      <c r="K216" s="130"/>
      <c r="L216" s="130"/>
      <c r="M216" s="130"/>
      <c r="N216" s="130"/>
      <c r="O216" s="130"/>
      <c r="P216" s="130"/>
      <c r="Q216" s="130"/>
      <c r="R216" s="130"/>
      <c r="S216" s="130"/>
      <c r="T216" s="130"/>
      <c r="U216" s="130"/>
      <c r="V216" s="130"/>
      <c r="W216" s="130"/>
      <c r="X216" s="130"/>
      <c r="Y216" s="130"/>
      <c r="Z216" s="130"/>
      <c r="AA216" s="130"/>
      <c r="AB216" s="130"/>
      <c r="AC216" s="130"/>
      <c r="AD216" s="130"/>
    </row>
    <row r="217" ht="15.75" customHeight="1">
      <c r="A217" s="130"/>
      <c r="B217" s="131"/>
      <c r="C217" s="132"/>
      <c r="D217" s="133"/>
      <c r="E217" s="134"/>
      <c r="F217" s="133"/>
      <c r="G217" s="134"/>
      <c r="H217" s="132"/>
      <c r="I217" s="132"/>
      <c r="J217" s="135"/>
      <c r="K217" s="130"/>
      <c r="L217" s="130"/>
      <c r="M217" s="130"/>
      <c r="N217" s="130"/>
      <c r="O217" s="130"/>
      <c r="P217" s="130"/>
      <c r="Q217" s="130"/>
      <c r="R217" s="130"/>
      <c r="S217" s="130"/>
      <c r="T217" s="130"/>
      <c r="U217" s="130"/>
      <c r="V217" s="130"/>
      <c r="W217" s="130"/>
      <c r="X217" s="130"/>
      <c r="Y217" s="130"/>
      <c r="Z217" s="130"/>
      <c r="AA217" s="130"/>
      <c r="AB217" s="130"/>
      <c r="AC217" s="130"/>
      <c r="AD217" s="130"/>
    </row>
    <row r="218" ht="15.75" customHeight="1">
      <c r="A218" s="130"/>
      <c r="B218" s="131"/>
      <c r="C218" s="132"/>
      <c r="D218" s="133"/>
      <c r="E218" s="134"/>
      <c r="F218" s="133"/>
      <c r="G218" s="134"/>
      <c r="H218" s="132"/>
      <c r="I218" s="132"/>
      <c r="J218" s="135"/>
      <c r="K218" s="130"/>
      <c r="L218" s="130"/>
      <c r="M218" s="130"/>
      <c r="N218" s="130"/>
      <c r="O218" s="130"/>
      <c r="P218" s="130"/>
      <c r="Q218" s="130"/>
      <c r="R218" s="130"/>
      <c r="S218" s="130"/>
      <c r="T218" s="130"/>
      <c r="U218" s="130"/>
      <c r="V218" s="130"/>
      <c r="W218" s="130"/>
      <c r="X218" s="130"/>
      <c r="Y218" s="130"/>
      <c r="Z218" s="130"/>
      <c r="AA218" s="130"/>
      <c r="AB218" s="130"/>
      <c r="AC218" s="130"/>
      <c r="AD218" s="130"/>
    </row>
    <row r="219" ht="15.75" customHeight="1">
      <c r="A219" s="130"/>
      <c r="B219" s="131"/>
      <c r="C219" s="132"/>
      <c r="D219" s="133"/>
      <c r="E219" s="134"/>
      <c r="F219" s="133"/>
      <c r="G219" s="134"/>
      <c r="H219" s="132"/>
      <c r="I219" s="132"/>
      <c r="J219" s="135"/>
      <c r="K219" s="130"/>
      <c r="L219" s="130"/>
      <c r="M219" s="130"/>
      <c r="N219" s="130"/>
      <c r="O219" s="130"/>
      <c r="P219" s="130"/>
      <c r="Q219" s="130"/>
      <c r="R219" s="130"/>
      <c r="S219" s="130"/>
      <c r="T219" s="130"/>
      <c r="U219" s="130"/>
      <c r="V219" s="130"/>
      <c r="W219" s="130"/>
      <c r="X219" s="130"/>
      <c r="Y219" s="130"/>
      <c r="Z219" s="130"/>
      <c r="AA219" s="130"/>
      <c r="AB219" s="130"/>
      <c r="AC219" s="130"/>
      <c r="AD219" s="130"/>
    </row>
    <row r="220" ht="15.75" customHeight="1">
      <c r="A220" s="130"/>
      <c r="B220" s="131"/>
      <c r="C220" s="132"/>
      <c r="D220" s="133"/>
      <c r="E220" s="134"/>
      <c r="F220" s="133"/>
      <c r="G220" s="134"/>
      <c r="H220" s="132"/>
      <c r="I220" s="132"/>
      <c r="J220" s="135"/>
      <c r="K220" s="130"/>
      <c r="L220" s="130"/>
      <c r="M220" s="130"/>
      <c r="N220" s="130"/>
      <c r="O220" s="130"/>
      <c r="P220" s="130"/>
      <c r="Q220" s="130"/>
      <c r="R220" s="130"/>
      <c r="S220" s="130"/>
      <c r="T220" s="130"/>
      <c r="U220" s="130"/>
      <c r="V220" s="130"/>
      <c r="W220" s="130"/>
      <c r="X220" s="130"/>
      <c r="Y220" s="130"/>
      <c r="Z220" s="130"/>
      <c r="AA220" s="130"/>
      <c r="AB220" s="130"/>
      <c r="AC220" s="130"/>
      <c r="AD220" s="130"/>
    </row>
    <row r="221" ht="15.75" customHeight="1">
      <c r="A221" s="130"/>
      <c r="B221" s="131"/>
      <c r="C221" s="132"/>
      <c r="D221" s="133"/>
      <c r="E221" s="134"/>
      <c r="F221" s="133"/>
      <c r="G221" s="134"/>
      <c r="H221" s="132"/>
      <c r="I221" s="132"/>
      <c r="J221" s="135"/>
      <c r="K221" s="130"/>
      <c r="L221" s="130"/>
      <c r="M221" s="130"/>
      <c r="N221" s="130"/>
      <c r="O221" s="130"/>
      <c r="P221" s="130"/>
      <c r="Q221" s="130"/>
      <c r="R221" s="130"/>
      <c r="S221" s="130"/>
      <c r="T221" s="130"/>
      <c r="U221" s="130"/>
      <c r="V221" s="130"/>
      <c r="W221" s="130"/>
      <c r="X221" s="130"/>
      <c r="Y221" s="130"/>
      <c r="Z221" s="130"/>
      <c r="AA221" s="130"/>
      <c r="AB221" s="130"/>
      <c r="AC221" s="130"/>
      <c r="AD221" s="130"/>
    </row>
    <row r="222" ht="15.75" customHeight="1">
      <c r="A222" s="130"/>
      <c r="B222" s="131"/>
      <c r="C222" s="132"/>
      <c r="D222" s="133"/>
      <c r="E222" s="134"/>
      <c r="F222" s="133"/>
      <c r="G222" s="134"/>
      <c r="H222" s="132"/>
      <c r="I222" s="132"/>
      <c r="J222" s="135"/>
      <c r="K222" s="130"/>
      <c r="L222" s="130"/>
      <c r="M222" s="130"/>
      <c r="N222" s="130"/>
      <c r="O222" s="130"/>
      <c r="P222" s="130"/>
      <c r="Q222" s="130"/>
      <c r="R222" s="130"/>
      <c r="S222" s="130"/>
      <c r="T222" s="130"/>
      <c r="U222" s="130"/>
      <c r="V222" s="130"/>
      <c r="W222" s="130"/>
      <c r="X222" s="130"/>
      <c r="Y222" s="130"/>
      <c r="Z222" s="130"/>
      <c r="AA222" s="130"/>
      <c r="AB222" s="130"/>
      <c r="AC222" s="130"/>
      <c r="AD222" s="130"/>
    </row>
    <row r="223" ht="15.75" customHeight="1">
      <c r="A223" s="130"/>
      <c r="B223" s="131"/>
      <c r="C223" s="132"/>
      <c r="D223" s="133"/>
      <c r="E223" s="134"/>
      <c r="F223" s="133"/>
      <c r="G223" s="134"/>
      <c r="H223" s="132"/>
      <c r="I223" s="132"/>
      <c r="J223" s="135"/>
      <c r="K223" s="130"/>
      <c r="L223" s="130"/>
      <c r="M223" s="130"/>
      <c r="N223" s="130"/>
      <c r="O223" s="130"/>
      <c r="P223" s="130"/>
      <c r="Q223" s="130"/>
      <c r="R223" s="130"/>
      <c r="S223" s="130"/>
      <c r="T223" s="130"/>
      <c r="U223" s="130"/>
      <c r="V223" s="130"/>
      <c r="W223" s="130"/>
      <c r="X223" s="130"/>
      <c r="Y223" s="130"/>
      <c r="Z223" s="130"/>
      <c r="AA223" s="130"/>
      <c r="AB223" s="130"/>
      <c r="AC223" s="130"/>
      <c r="AD223" s="130"/>
    </row>
    <row r="224" ht="15.75" customHeight="1">
      <c r="A224" s="130"/>
      <c r="B224" s="131"/>
      <c r="C224" s="132"/>
      <c r="D224" s="133"/>
      <c r="E224" s="134"/>
      <c r="F224" s="133"/>
      <c r="G224" s="134"/>
      <c r="H224" s="132"/>
      <c r="I224" s="132"/>
      <c r="J224" s="135"/>
      <c r="K224" s="130"/>
      <c r="L224" s="130"/>
      <c r="M224" s="130"/>
      <c r="N224" s="130"/>
      <c r="O224" s="130"/>
      <c r="P224" s="130"/>
      <c r="Q224" s="130"/>
      <c r="R224" s="130"/>
      <c r="S224" s="130"/>
      <c r="T224" s="130"/>
      <c r="U224" s="130"/>
      <c r="V224" s="130"/>
      <c r="W224" s="130"/>
      <c r="X224" s="130"/>
      <c r="Y224" s="130"/>
      <c r="Z224" s="130"/>
      <c r="AA224" s="130"/>
      <c r="AB224" s="130"/>
      <c r="AC224" s="130"/>
      <c r="AD224" s="130"/>
    </row>
    <row r="225" ht="15.75" customHeight="1">
      <c r="A225" s="130"/>
      <c r="B225" s="131"/>
      <c r="C225" s="132"/>
      <c r="D225" s="133"/>
      <c r="E225" s="134"/>
      <c r="F225" s="133"/>
      <c r="G225" s="134"/>
      <c r="H225" s="132"/>
      <c r="I225" s="132"/>
      <c r="J225" s="135"/>
      <c r="K225" s="130"/>
      <c r="L225" s="130"/>
      <c r="M225" s="130"/>
      <c r="N225" s="130"/>
      <c r="O225" s="130"/>
      <c r="P225" s="130"/>
      <c r="Q225" s="130"/>
      <c r="R225" s="130"/>
      <c r="S225" s="130"/>
      <c r="T225" s="130"/>
      <c r="U225" s="130"/>
      <c r="V225" s="130"/>
      <c r="W225" s="130"/>
      <c r="X225" s="130"/>
      <c r="Y225" s="130"/>
      <c r="Z225" s="130"/>
      <c r="AA225" s="130"/>
      <c r="AB225" s="130"/>
      <c r="AC225" s="130"/>
      <c r="AD225" s="130"/>
    </row>
    <row r="226" ht="15.75" customHeight="1">
      <c r="A226" s="130"/>
      <c r="B226" s="131"/>
      <c r="C226" s="132"/>
      <c r="D226" s="133"/>
      <c r="E226" s="134"/>
      <c r="F226" s="133"/>
      <c r="G226" s="134"/>
      <c r="H226" s="132"/>
      <c r="I226" s="132"/>
      <c r="J226" s="135"/>
      <c r="K226" s="130"/>
      <c r="L226" s="130"/>
      <c r="M226" s="130"/>
      <c r="N226" s="130"/>
      <c r="O226" s="130"/>
      <c r="P226" s="130"/>
      <c r="Q226" s="130"/>
      <c r="R226" s="130"/>
      <c r="S226" s="130"/>
      <c r="T226" s="130"/>
      <c r="U226" s="130"/>
      <c r="V226" s="130"/>
      <c r="W226" s="130"/>
      <c r="X226" s="130"/>
      <c r="Y226" s="130"/>
      <c r="Z226" s="130"/>
      <c r="AA226" s="130"/>
      <c r="AB226" s="130"/>
      <c r="AC226" s="130"/>
      <c r="AD226" s="130"/>
    </row>
    <row r="227" ht="15.75" customHeight="1">
      <c r="A227" s="130"/>
      <c r="B227" s="131"/>
      <c r="C227" s="132"/>
      <c r="D227" s="133"/>
      <c r="E227" s="134"/>
      <c r="F227" s="133"/>
      <c r="G227" s="134"/>
      <c r="H227" s="132"/>
      <c r="I227" s="132"/>
      <c r="J227" s="135"/>
      <c r="K227" s="130"/>
      <c r="L227" s="130"/>
      <c r="M227" s="130"/>
      <c r="N227" s="130"/>
      <c r="O227" s="130"/>
      <c r="P227" s="130"/>
      <c r="Q227" s="130"/>
      <c r="R227" s="130"/>
      <c r="S227" s="130"/>
      <c r="T227" s="130"/>
      <c r="U227" s="130"/>
      <c r="V227" s="130"/>
      <c r="W227" s="130"/>
      <c r="X227" s="130"/>
      <c r="Y227" s="130"/>
      <c r="Z227" s="130"/>
      <c r="AA227" s="130"/>
      <c r="AB227" s="130"/>
      <c r="AC227" s="130"/>
      <c r="AD227" s="130"/>
    </row>
    <row r="228" ht="15.75" customHeight="1">
      <c r="A228" s="130"/>
      <c r="B228" s="131"/>
      <c r="C228" s="132"/>
      <c r="D228" s="133"/>
      <c r="E228" s="134"/>
      <c r="F228" s="133"/>
      <c r="G228" s="134"/>
      <c r="H228" s="132"/>
      <c r="I228" s="132"/>
      <c r="J228" s="135"/>
      <c r="K228" s="130"/>
      <c r="L228" s="130"/>
      <c r="M228" s="130"/>
      <c r="N228" s="130"/>
      <c r="O228" s="130"/>
      <c r="P228" s="130"/>
      <c r="Q228" s="130"/>
      <c r="R228" s="130"/>
      <c r="S228" s="130"/>
      <c r="T228" s="130"/>
      <c r="U228" s="130"/>
      <c r="V228" s="130"/>
      <c r="W228" s="130"/>
      <c r="X228" s="130"/>
      <c r="Y228" s="130"/>
      <c r="Z228" s="130"/>
      <c r="AA228" s="130"/>
      <c r="AB228" s="130"/>
      <c r="AC228" s="130"/>
      <c r="AD228" s="130"/>
    </row>
    <row r="229" ht="15.75" customHeight="1">
      <c r="A229" s="130"/>
      <c r="B229" s="131"/>
      <c r="C229" s="132"/>
      <c r="D229" s="133"/>
      <c r="E229" s="134"/>
      <c r="F229" s="133"/>
      <c r="G229" s="134"/>
      <c r="H229" s="132"/>
      <c r="I229" s="132"/>
      <c r="J229" s="135"/>
      <c r="K229" s="130"/>
      <c r="L229" s="130"/>
      <c r="M229" s="130"/>
      <c r="N229" s="130"/>
      <c r="O229" s="130"/>
      <c r="P229" s="130"/>
      <c r="Q229" s="130"/>
      <c r="R229" s="130"/>
      <c r="S229" s="130"/>
      <c r="T229" s="130"/>
      <c r="U229" s="130"/>
      <c r="V229" s="130"/>
      <c r="W229" s="130"/>
      <c r="X229" s="130"/>
      <c r="Y229" s="130"/>
      <c r="Z229" s="130"/>
      <c r="AA229" s="130"/>
      <c r="AB229" s="130"/>
      <c r="AC229" s="130"/>
      <c r="AD229" s="130"/>
    </row>
    <row r="230" ht="15.75" customHeight="1">
      <c r="A230" s="130"/>
      <c r="B230" s="131"/>
      <c r="C230" s="132"/>
      <c r="D230" s="133"/>
      <c r="E230" s="134"/>
      <c r="F230" s="133"/>
      <c r="G230" s="134"/>
      <c r="H230" s="132"/>
      <c r="I230" s="132"/>
      <c r="J230" s="135"/>
      <c r="K230" s="130"/>
      <c r="L230" s="130"/>
      <c r="M230" s="130"/>
      <c r="N230" s="130"/>
      <c r="O230" s="130"/>
      <c r="P230" s="130"/>
      <c r="Q230" s="130"/>
      <c r="R230" s="130"/>
      <c r="S230" s="130"/>
      <c r="T230" s="130"/>
      <c r="U230" s="130"/>
      <c r="V230" s="130"/>
      <c r="W230" s="130"/>
      <c r="X230" s="130"/>
      <c r="Y230" s="130"/>
      <c r="Z230" s="130"/>
      <c r="AA230" s="130"/>
      <c r="AB230" s="130"/>
      <c r="AC230" s="130"/>
      <c r="AD230" s="130"/>
    </row>
    <row r="231" ht="15.75" customHeight="1">
      <c r="A231" s="130"/>
      <c r="B231" s="131"/>
      <c r="C231" s="132"/>
      <c r="D231" s="133"/>
      <c r="E231" s="134"/>
      <c r="F231" s="133"/>
      <c r="G231" s="134"/>
      <c r="H231" s="132"/>
      <c r="I231" s="132"/>
      <c r="J231" s="135"/>
      <c r="K231" s="130"/>
      <c r="L231" s="130"/>
      <c r="M231" s="130"/>
      <c r="N231" s="130"/>
      <c r="O231" s="130"/>
      <c r="P231" s="130"/>
      <c r="Q231" s="130"/>
      <c r="R231" s="130"/>
      <c r="S231" s="130"/>
      <c r="T231" s="130"/>
      <c r="U231" s="130"/>
      <c r="V231" s="130"/>
      <c r="W231" s="130"/>
      <c r="X231" s="130"/>
      <c r="Y231" s="130"/>
      <c r="Z231" s="130"/>
      <c r="AA231" s="130"/>
      <c r="AB231" s="130"/>
      <c r="AC231" s="130"/>
      <c r="AD231" s="130"/>
    </row>
    <row r="232" ht="15.75" customHeight="1">
      <c r="A232" s="130"/>
      <c r="B232" s="131"/>
      <c r="C232" s="132"/>
      <c r="D232" s="133"/>
      <c r="E232" s="134"/>
      <c r="F232" s="133"/>
      <c r="G232" s="134"/>
      <c r="H232" s="132"/>
      <c r="I232" s="132"/>
      <c r="J232" s="135"/>
      <c r="K232" s="130"/>
      <c r="L232" s="130"/>
      <c r="M232" s="130"/>
      <c r="N232" s="130"/>
      <c r="O232" s="130"/>
      <c r="P232" s="130"/>
      <c r="Q232" s="130"/>
      <c r="R232" s="130"/>
      <c r="S232" s="130"/>
      <c r="T232" s="130"/>
      <c r="U232" s="130"/>
      <c r="V232" s="130"/>
      <c r="W232" s="130"/>
      <c r="X232" s="130"/>
      <c r="Y232" s="130"/>
      <c r="Z232" s="130"/>
      <c r="AA232" s="130"/>
      <c r="AB232" s="130"/>
      <c r="AC232" s="130"/>
      <c r="AD232" s="130"/>
    </row>
    <row r="233" ht="15.75" customHeight="1">
      <c r="A233" s="130"/>
      <c r="B233" s="131"/>
      <c r="C233" s="132"/>
      <c r="D233" s="133"/>
      <c r="E233" s="134"/>
      <c r="F233" s="133"/>
      <c r="G233" s="134"/>
      <c r="H233" s="132"/>
      <c r="I233" s="132"/>
      <c r="J233" s="135"/>
      <c r="K233" s="130"/>
      <c r="L233" s="130"/>
      <c r="M233" s="130"/>
      <c r="N233" s="130"/>
      <c r="O233" s="130"/>
      <c r="P233" s="130"/>
      <c r="Q233" s="130"/>
      <c r="R233" s="130"/>
      <c r="S233" s="130"/>
      <c r="T233" s="130"/>
      <c r="U233" s="130"/>
      <c r="V233" s="130"/>
      <c r="W233" s="130"/>
      <c r="X233" s="130"/>
      <c r="Y233" s="130"/>
      <c r="Z233" s="130"/>
      <c r="AA233" s="130"/>
      <c r="AB233" s="130"/>
      <c r="AC233" s="130"/>
      <c r="AD233" s="130"/>
    </row>
    <row r="234" ht="15.75" customHeight="1">
      <c r="A234" s="130"/>
      <c r="B234" s="131"/>
      <c r="C234" s="132"/>
      <c r="D234" s="133"/>
      <c r="E234" s="134"/>
      <c r="F234" s="133"/>
      <c r="G234" s="134"/>
      <c r="H234" s="132"/>
      <c r="I234" s="132"/>
      <c r="J234" s="135"/>
      <c r="K234" s="130"/>
      <c r="L234" s="130"/>
      <c r="M234" s="130"/>
      <c r="N234" s="130"/>
      <c r="O234" s="130"/>
      <c r="P234" s="130"/>
      <c r="Q234" s="130"/>
      <c r="R234" s="130"/>
      <c r="S234" s="130"/>
      <c r="T234" s="130"/>
      <c r="U234" s="130"/>
      <c r="V234" s="130"/>
      <c r="W234" s="130"/>
      <c r="X234" s="130"/>
      <c r="Y234" s="130"/>
      <c r="Z234" s="130"/>
      <c r="AA234" s="130"/>
      <c r="AB234" s="130"/>
      <c r="AC234" s="130"/>
      <c r="AD234" s="130"/>
    </row>
    <row r="235" ht="15.75" customHeight="1">
      <c r="A235" s="130"/>
      <c r="B235" s="131"/>
      <c r="C235" s="132"/>
      <c r="D235" s="133"/>
      <c r="E235" s="134"/>
      <c r="F235" s="133"/>
      <c r="G235" s="134"/>
      <c r="H235" s="132"/>
      <c r="I235" s="132"/>
      <c r="J235" s="135"/>
      <c r="K235" s="130"/>
      <c r="L235" s="130"/>
      <c r="M235" s="130"/>
      <c r="N235" s="130"/>
      <c r="O235" s="130"/>
      <c r="P235" s="130"/>
      <c r="Q235" s="130"/>
      <c r="R235" s="130"/>
      <c r="S235" s="130"/>
      <c r="T235" s="130"/>
      <c r="U235" s="130"/>
      <c r="V235" s="130"/>
      <c r="W235" s="130"/>
      <c r="X235" s="130"/>
      <c r="Y235" s="130"/>
      <c r="Z235" s="130"/>
      <c r="AA235" s="130"/>
      <c r="AB235" s="130"/>
      <c r="AC235" s="130"/>
      <c r="AD235" s="130"/>
    </row>
    <row r="236" ht="15.75" customHeight="1">
      <c r="A236" s="130"/>
      <c r="B236" s="131"/>
      <c r="C236" s="132"/>
      <c r="D236" s="133"/>
      <c r="E236" s="134"/>
      <c r="F236" s="133"/>
      <c r="G236" s="134"/>
      <c r="H236" s="132"/>
      <c r="I236" s="132"/>
      <c r="J236" s="135"/>
      <c r="K236" s="130"/>
      <c r="L236" s="130"/>
      <c r="M236" s="130"/>
      <c r="N236" s="130"/>
      <c r="O236" s="130"/>
      <c r="P236" s="130"/>
      <c r="Q236" s="130"/>
      <c r="R236" s="130"/>
      <c r="S236" s="130"/>
      <c r="T236" s="130"/>
      <c r="U236" s="130"/>
      <c r="V236" s="130"/>
      <c r="W236" s="130"/>
      <c r="X236" s="130"/>
      <c r="Y236" s="130"/>
      <c r="Z236" s="130"/>
      <c r="AA236" s="130"/>
      <c r="AB236" s="130"/>
      <c r="AC236" s="130"/>
      <c r="AD236" s="130"/>
    </row>
    <row r="237" ht="15.75" customHeight="1">
      <c r="A237" s="130"/>
      <c r="B237" s="131"/>
      <c r="C237" s="132"/>
      <c r="D237" s="133"/>
      <c r="E237" s="134"/>
      <c r="F237" s="133"/>
      <c r="G237" s="134"/>
      <c r="H237" s="132"/>
      <c r="I237" s="132"/>
      <c r="J237" s="135"/>
      <c r="K237" s="130"/>
      <c r="L237" s="130"/>
      <c r="M237" s="130"/>
      <c r="N237" s="130"/>
      <c r="O237" s="130"/>
      <c r="P237" s="130"/>
      <c r="Q237" s="130"/>
      <c r="R237" s="130"/>
      <c r="S237" s="130"/>
      <c r="T237" s="130"/>
      <c r="U237" s="130"/>
      <c r="V237" s="130"/>
      <c r="W237" s="130"/>
      <c r="X237" s="130"/>
      <c r="Y237" s="130"/>
      <c r="Z237" s="130"/>
      <c r="AA237" s="130"/>
      <c r="AB237" s="130"/>
      <c r="AC237" s="130"/>
      <c r="AD237" s="130"/>
    </row>
    <row r="238" ht="15.75" customHeight="1">
      <c r="A238" s="130"/>
      <c r="B238" s="131"/>
      <c r="C238" s="132"/>
      <c r="D238" s="133"/>
      <c r="E238" s="134"/>
      <c r="F238" s="133"/>
      <c r="G238" s="134"/>
      <c r="H238" s="132"/>
      <c r="I238" s="132"/>
      <c r="J238" s="135"/>
      <c r="K238" s="130"/>
      <c r="L238" s="130"/>
      <c r="M238" s="130"/>
      <c r="N238" s="130"/>
      <c r="O238" s="130"/>
      <c r="P238" s="130"/>
      <c r="Q238" s="130"/>
      <c r="R238" s="130"/>
      <c r="S238" s="130"/>
      <c r="T238" s="130"/>
      <c r="U238" s="130"/>
      <c r="V238" s="130"/>
      <c r="W238" s="130"/>
      <c r="X238" s="130"/>
      <c r="Y238" s="130"/>
      <c r="Z238" s="130"/>
      <c r="AA238" s="130"/>
      <c r="AB238" s="130"/>
      <c r="AC238" s="130"/>
      <c r="AD238" s="130"/>
    </row>
    <row r="239" ht="15.75" customHeight="1">
      <c r="A239" s="130"/>
      <c r="B239" s="131"/>
      <c r="C239" s="132"/>
      <c r="D239" s="133"/>
      <c r="E239" s="134"/>
      <c r="F239" s="133"/>
      <c r="G239" s="134"/>
      <c r="H239" s="132"/>
      <c r="I239" s="132"/>
      <c r="J239" s="135"/>
      <c r="K239" s="130"/>
      <c r="L239" s="130"/>
      <c r="M239" s="130"/>
      <c r="N239" s="130"/>
      <c r="O239" s="130"/>
      <c r="P239" s="130"/>
      <c r="Q239" s="130"/>
      <c r="R239" s="130"/>
      <c r="S239" s="130"/>
      <c r="T239" s="130"/>
      <c r="U239" s="130"/>
      <c r="V239" s="130"/>
      <c r="W239" s="130"/>
      <c r="X239" s="130"/>
      <c r="Y239" s="130"/>
      <c r="Z239" s="130"/>
      <c r="AA239" s="130"/>
      <c r="AB239" s="130"/>
      <c r="AC239" s="130"/>
      <c r="AD239" s="130"/>
    </row>
    <row r="240" ht="15.75" customHeight="1">
      <c r="A240" s="130"/>
      <c r="B240" s="131"/>
      <c r="C240" s="132"/>
      <c r="D240" s="133"/>
      <c r="E240" s="134"/>
      <c r="F240" s="133"/>
      <c r="G240" s="134"/>
      <c r="H240" s="132"/>
      <c r="I240" s="132"/>
      <c r="J240" s="135"/>
      <c r="K240" s="130"/>
      <c r="L240" s="130"/>
      <c r="M240" s="130"/>
      <c r="N240" s="130"/>
      <c r="O240" s="130"/>
      <c r="P240" s="130"/>
      <c r="Q240" s="130"/>
      <c r="R240" s="130"/>
      <c r="S240" s="130"/>
      <c r="T240" s="130"/>
      <c r="U240" s="130"/>
      <c r="V240" s="130"/>
      <c r="W240" s="130"/>
      <c r="X240" s="130"/>
      <c r="Y240" s="130"/>
      <c r="Z240" s="130"/>
      <c r="AA240" s="130"/>
      <c r="AB240" s="130"/>
      <c r="AC240" s="130"/>
      <c r="AD240" s="130"/>
    </row>
    <row r="241" ht="15.75" customHeight="1">
      <c r="A241" s="130"/>
      <c r="B241" s="131"/>
      <c r="C241" s="132"/>
      <c r="D241" s="133"/>
      <c r="E241" s="134"/>
      <c r="F241" s="133"/>
      <c r="G241" s="134"/>
      <c r="H241" s="132"/>
      <c r="I241" s="132"/>
      <c r="J241" s="135"/>
      <c r="K241" s="130"/>
      <c r="L241" s="130"/>
      <c r="M241" s="130"/>
      <c r="N241" s="130"/>
      <c r="O241" s="130"/>
      <c r="P241" s="130"/>
      <c r="Q241" s="130"/>
      <c r="R241" s="130"/>
      <c r="S241" s="130"/>
      <c r="T241" s="130"/>
      <c r="U241" s="130"/>
      <c r="V241" s="130"/>
      <c r="W241" s="130"/>
      <c r="X241" s="130"/>
      <c r="Y241" s="130"/>
      <c r="Z241" s="130"/>
      <c r="AA241" s="130"/>
      <c r="AB241" s="130"/>
      <c r="AC241" s="130"/>
      <c r="AD241" s="130"/>
    </row>
    <row r="242" ht="15.75" customHeight="1">
      <c r="A242" s="130"/>
      <c r="B242" s="131"/>
      <c r="C242" s="132"/>
      <c r="D242" s="133"/>
      <c r="E242" s="134"/>
      <c r="F242" s="133"/>
      <c r="G242" s="134"/>
      <c r="H242" s="132"/>
      <c r="I242" s="132"/>
      <c r="J242" s="135"/>
      <c r="K242" s="130"/>
      <c r="L242" s="130"/>
      <c r="M242" s="130"/>
      <c r="N242" s="130"/>
      <c r="O242" s="130"/>
      <c r="P242" s="130"/>
      <c r="Q242" s="130"/>
      <c r="R242" s="130"/>
      <c r="S242" s="130"/>
      <c r="T242" s="130"/>
      <c r="U242" s="130"/>
      <c r="V242" s="130"/>
      <c r="W242" s="130"/>
      <c r="X242" s="130"/>
      <c r="Y242" s="130"/>
      <c r="Z242" s="130"/>
      <c r="AA242" s="130"/>
      <c r="AB242" s="130"/>
      <c r="AC242" s="130"/>
      <c r="AD242" s="130"/>
    </row>
    <row r="243" ht="15.75" customHeight="1">
      <c r="A243" s="130"/>
      <c r="B243" s="131"/>
      <c r="C243" s="132"/>
      <c r="D243" s="133"/>
      <c r="E243" s="134"/>
      <c r="F243" s="133"/>
      <c r="G243" s="134"/>
      <c r="H243" s="132"/>
      <c r="I243" s="132"/>
      <c r="J243" s="135"/>
      <c r="K243" s="130"/>
      <c r="L243" s="130"/>
      <c r="M243" s="130"/>
      <c r="N243" s="130"/>
      <c r="O243" s="130"/>
      <c r="P243" s="130"/>
      <c r="Q243" s="130"/>
      <c r="R243" s="130"/>
      <c r="S243" s="130"/>
      <c r="T243" s="130"/>
      <c r="U243" s="130"/>
      <c r="V243" s="130"/>
      <c r="W243" s="130"/>
      <c r="X243" s="130"/>
      <c r="Y243" s="130"/>
      <c r="Z243" s="130"/>
      <c r="AA243" s="130"/>
      <c r="AB243" s="130"/>
      <c r="AC243" s="130"/>
      <c r="AD243" s="130"/>
    </row>
    <row r="244" ht="15.75" customHeight="1">
      <c r="A244" s="130"/>
      <c r="B244" s="131"/>
      <c r="C244" s="132"/>
      <c r="D244" s="133"/>
      <c r="E244" s="134"/>
      <c r="F244" s="133"/>
      <c r="G244" s="134"/>
      <c r="H244" s="132"/>
      <c r="I244" s="132"/>
      <c r="J244" s="135"/>
      <c r="K244" s="130"/>
      <c r="L244" s="130"/>
      <c r="M244" s="130"/>
      <c r="N244" s="130"/>
      <c r="O244" s="130"/>
      <c r="P244" s="130"/>
      <c r="Q244" s="130"/>
      <c r="R244" s="130"/>
      <c r="S244" s="130"/>
      <c r="T244" s="130"/>
      <c r="U244" s="130"/>
      <c r="V244" s="130"/>
      <c r="W244" s="130"/>
      <c r="X244" s="130"/>
      <c r="Y244" s="130"/>
      <c r="Z244" s="130"/>
      <c r="AA244" s="130"/>
      <c r="AB244" s="130"/>
      <c r="AC244" s="130"/>
      <c r="AD244" s="130"/>
    </row>
    <row r="245" ht="15.75" customHeight="1">
      <c r="A245" s="130"/>
      <c r="B245" s="131"/>
      <c r="C245" s="132"/>
      <c r="D245" s="133"/>
      <c r="E245" s="134"/>
      <c r="F245" s="133"/>
      <c r="G245" s="134"/>
      <c r="H245" s="132"/>
      <c r="I245" s="132"/>
      <c r="J245" s="135"/>
      <c r="K245" s="130"/>
      <c r="L245" s="130"/>
      <c r="M245" s="130"/>
      <c r="N245" s="130"/>
      <c r="O245" s="130"/>
      <c r="P245" s="130"/>
      <c r="Q245" s="130"/>
      <c r="R245" s="130"/>
      <c r="S245" s="130"/>
      <c r="T245" s="130"/>
      <c r="U245" s="130"/>
      <c r="V245" s="130"/>
      <c r="W245" s="130"/>
      <c r="X245" s="130"/>
      <c r="Y245" s="130"/>
      <c r="Z245" s="130"/>
      <c r="AA245" s="130"/>
      <c r="AB245" s="130"/>
      <c r="AC245" s="130"/>
      <c r="AD245" s="130"/>
    </row>
    <row r="246" ht="15.75" customHeight="1">
      <c r="A246" s="130"/>
      <c r="B246" s="131"/>
      <c r="C246" s="132"/>
      <c r="D246" s="133"/>
      <c r="E246" s="134"/>
      <c r="F246" s="133"/>
      <c r="G246" s="134"/>
      <c r="H246" s="132"/>
      <c r="I246" s="132"/>
      <c r="J246" s="135"/>
      <c r="K246" s="130"/>
      <c r="L246" s="130"/>
      <c r="M246" s="130"/>
      <c r="N246" s="130"/>
      <c r="O246" s="130"/>
      <c r="P246" s="130"/>
      <c r="Q246" s="130"/>
      <c r="R246" s="130"/>
      <c r="S246" s="130"/>
      <c r="T246" s="130"/>
      <c r="U246" s="130"/>
      <c r="V246" s="130"/>
      <c r="W246" s="130"/>
      <c r="X246" s="130"/>
      <c r="Y246" s="130"/>
      <c r="Z246" s="130"/>
      <c r="AA246" s="130"/>
      <c r="AB246" s="130"/>
      <c r="AC246" s="130"/>
      <c r="AD246" s="130"/>
    </row>
    <row r="247" ht="15.75" customHeight="1">
      <c r="A247" s="130"/>
      <c r="B247" s="131"/>
      <c r="C247" s="132"/>
      <c r="D247" s="133"/>
      <c r="E247" s="134"/>
      <c r="F247" s="133"/>
      <c r="G247" s="134"/>
      <c r="H247" s="132"/>
      <c r="I247" s="132"/>
      <c r="J247" s="135"/>
      <c r="K247" s="130"/>
      <c r="L247" s="130"/>
      <c r="M247" s="130"/>
      <c r="N247" s="130"/>
      <c r="O247" s="130"/>
      <c r="P247" s="130"/>
      <c r="Q247" s="130"/>
      <c r="R247" s="130"/>
      <c r="S247" s="130"/>
      <c r="T247" s="130"/>
      <c r="U247" s="130"/>
      <c r="V247" s="130"/>
      <c r="W247" s="130"/>
      <c r="X247" s="130"/>
      <c r="Y247" s="130"/>
      <c r="Z247" s="130"/>
      <c r="AA247" s="130"/>
      <c r="AB247" s="130"/>
      <c r="AC247" s="130"/>
      <c r="AD247" s="130"/>
    </row>
    <row r="248" ht="15.75" customHeight="1">
      <c r="A248" s="130"/>
      <c r="B248" s="131"/>
      <c r="C248" s="132"/>
      <c r="D248" s="133"/>
      <c r="E248" s="134"/>
      <c r="F248" s="133"/>
      <c r="G248" s="134"/>
      <c r="H248" s="132"/>
      <c r="I248" s="132"/>
      <c r="J248" s="135"/>
      <c r="K248" s="130"/>
      <c r="L248" s="130"/>
      <c r="M248" s="130"/>
      <c r="N248" s="130"/>
      <c r="O248" s="130"/>
      <c r="P248" s="130"/>
      <c r="Q248" s="130"/>
      <c r="R248" s="130"/>
      <c r="S248" s="130"/>
      <c r="T248" s="130"/>
      <c r="U248" s="130"/>
      <c r="V248" s="130"/>
      <c r="W248" s="130"/>
      <c r="X248" s="130"/>
      <c r="Y248" s="130"/>
      <c r="Z248" s="130"/>
      <c r="AA248" s="130"/>
      <c r="AB248" s="130"/>
      <c r="AC248" s="130"/>
      <c r="AD248" s="130"/>
    </row>
    <row r="249" ht="15.75" customHeight="1">
      <c r="A249" s="130"/>
      <c r="B249" s="131"/>
      <c r="C249" s="132"/>
      <c r="D249" s="133"/>
      <c r="E249" s="134"/>
      <c r="F249" s="133"/>
      <c r="G249" s="134"/>
      <c r="H249" s="132"/>
      <c r="I249" s="132"/>
      <c r="J249" s="135"/>
      <c r="K249" s="130"/>
      <c r="L249" s="130"/>
      <c r="M249" s="130"/>
      <c r="N249" s="130"/>
      <c r="O249" s="130"/>
      <c r="P249" s="130"/>
      <c r="Q249" s="130"/>
      <c r="R249" s="130"/>
      <c r="S249" s="130"/>
      <c r="T249" s="130"/>
      <c r="U249" s="130"/>
      <c r="V249" s="130"/>
      <c r="W249" s="130"/>
      <c r="X249" s="130"/>
      <c r="Y249" s="130"/>
      <c r="Z249" s="130"/>
      <c r="AA249" s="130"/>
      <c r="AB249" s="130"/>
      <c r="AC249" s="130"/>
      <c r="AD249" s="130"/>
    </row>
    <row r="250" ht="15.75" customHeight="1">
      <c r="A250" s="130"/>
      <c r="B250" s="131"/>
      <c r="C250" s="132"/>
      <c r="D250" s="133"/>
      <c r="E250" s="134"/>
      <c r="F250" s="133"/>
      <c r="G250" s="134"/>
      <c r="H250" s="132"/>
      <c r="I250" s="132"/>
      <c r="J250" s="135"/>
      <c r="K250" s="130"/>
      <c r="L250" s="130"/>
      <c r="M250" s="130"/>
      <c r="N250" s="130"/>
      <c r="O250" s="130"/>
      <c r="P250" s="130"/>
      <c r="Q250" s="130"/>
      <c r="R250" s="130"/>
      <c r="S250" s="130"/>
      <c r="T250" s="130"/>
      <c r="U250" s="130"/>
      <c r="V250" s="130"/>
      <c r="W250" s="130"/>
      <c r="X250" s="130"/>
      <c r="Y250" s="130"/>
      <c r="Z250" s="130"/>
      <c r="AA250" s="130"/>
      <c r="AB250" s="130"/>
      <c r="AC250" s="130"/>
      <c r="AD250" s="130"/>
    </row>
    <row r="251" ht="15.75" customHeight="1">
      <c r="A251" s="130"/>
      <c r="B251" s="131"/>
      <c r="C251" s="132"/>
      <c r="D251" s="133"/>
      <c r="E251" s="134"/>
      <c r="F251" s="133"/>
      <c r="G251" s="134"/>
      <c r="H251" s="132"/>
      <c r="I251" s="132"/>
      <c r="J251" s="135"/>
      <c r="K251" s="130"/>
      <c r="L251" s="130"/>
      <c r="M251" s="130"/>
      <c r="N251" s="130"/>
      <c r="O251" s="130"/>
      <c r="P251" s="130"/>
      <c r="Q251" s="130"/>
      <c r="R251" s="130"/>
      <c r="S251" s="130"/>
      <c r="T251" s="130"/>
      <c r="U251" s="130"/>
      <c r="V251" s="130"/>
      <c r="W251" s="130"/>
      <c r="X251" s="130"/>
      <c r="Y251" s="130"/>
      <c r="Z251" s="130"/>
      <c r="AA251" s="130"/>
      <c r="AB251" s="130"/>
      <c r="AC251" s="130"/>
      <c r="AD251" s="130"/>
    </row>
    <row r="252" ht="15.75" customHeight="1">
      <c r="A252" s="130"/>
      <c r="B252" s="131"/>
      <c r="C252" s="132"/>
      <c r="D252" s="133"/>
      <c r="E252" s="134"/>
      <c r="F252" s="133"/>
      <c r="G252" s="134"/>
      <c r="H252" s="132"/>
      <c r="I252" s="132"/>
      <c r="J252" s="135"/>
      <c r="K252" s="130"/>
      <c r="L252" s="130"/>
      <c r="M252" s="130"/>
      <c r="N252" s="130"/>
      <c r="O252" s="130"/>
      <c r="P252" s="130"/>
      <c r="Q252" s="130"/>
      <c r="R252" s="130"/>
      <c r="S252" s="130"/>
      <c r="T252" s="130"/>
      <c r="U252" s="130"/>
      <c r="V252" s="130"/>
      <c r="W252" s="130"/>
      <c r="X252" s="130"/>
      <c r="Y252" s="130"/>
      <c r="Z252" s="130"/>
      <c r="AA252" s="130"/>
      <c r="AB252" s="130"/>
      <c r="AC252" s="130"/>
      <c r="AD252" s="130"/>
    </row>
    <row r="253" ht="15.75" customHeight="1">
      <c r="A253" s="130"/>
      <c r="B253" s="131"/>
      <c r="C253" s="132"/>
      <c r="D253" s="133"/>
      <c r="E253" s="134"/>
      <c r="F253" s="133"/>
      <c r="G253" s="134"/>
      <c r="H253" s="132"/>
      <c r="I253" s="132"/>
      <c r="J253" s="135"/>
      <c r="K253" s="130"/>
      <c r="L253" s="130"/>
      <c r="M253" s="130"/>
      <c r="N253" s="130"/>
      <c r="O253" s="130"/>
      <c r="P253" s="130"/>
      <c r="Q253" s="130"/>
      <c r="R253" s="130"/>
      <c r="S253" s="130"/>
      <c r="T253" s="130"/>
      <c r="U253" s="130"/>
      <c r="V253" s="130"/>
      <c r="W253" s="130"/>
      <c r="X253" s="130"/>
      <c r="Y253" s="130"/>
      <c r="Z253" s="130"/>
      <c r="AA253" s="130"/>
      <c r="AB253" s="130"/>
      <c r="AC253" s="130"/>
      <c r="AD253" s="130"/>
    </row>
    <row r="254" ht="15.75" customHeight="1">
      <c r="A254" s="130"/>
      <c r="B254" s="131"/>
      <c r="C254" s="132"/>
      <c r="D254" s="133"/>
      <c r="E254" s="134"/>
      <c r="F254" s="133"/>
      <c r="G254" s="134"/>
      <c r="H254" s="132"/>
      <c r="I254" s="132"/>
      <c r="J254" s="135"/>
      <c r="K254" s="130"/>
      <c r="L254" s="130"/>
      <c r="M254" s="130"/>
      <c r="N254" s="130"/>
      <c r="O254" s="130"/>
      <c r="P254" s="130"/>
      <c r="Q254" s="130"/>
      <c r="R254" s="130"/>
      <c r="S254" s="130"/>
      <c r="T254" s="130"/>
      <c r="U254" s="130"/>
      <c r="V254" s="130"/>
      <c r="W254" s="130"/>
      <c r="X254" s="130"/>
      <c r="Y254" s="130"/>
      <c r="Z254" s="130"/>
      <c r="AA254" s="130"/>
      <c r="AB254" s="130"/>
      <c r="AC254" s="130"/>
      <c r="AD254" s="130"/>
    </row>
    <row r="255" ht="15.75" customHeight="1">
      <c r="A255" s="130"/>
      <c r="B255" s="131"/>
      <c r="C255" s="132"/>
      <c r="D255" s="133"/>
      <c r="E255" s="134"/>
      <c r="F255" s="133"/>
      <c r="G255" s="134"/>
      <c r="H255" s="132"/>
      <c r="I255" s="132"/>
      <c r="J255" s="135"/>
      <c r="K255" s="130"/>
      <c r="L255" s="130"/>
      <c r="M255" s="130"/>
      <c r="N255" s="130"/>
      <c r="O255" s="130"/>
      <c r="P255" s="130"/>
      <c r="Q255" s="130"/>
      <c r="R255" s="130"/>
      <c r="S255" s="130"/>
      <c r="T255" s="130"/>
      <c r="U255" s="130"/>
      <c r="V255" s="130"/>
      <c r="W255" s="130"/>
      <c r="X255" s="130"/>
      <c r="Y255" s="130"/>
      <c r="Z255" s="130"/>
      <c r="AA255" s="130"/>
      <c r="AB255" s="130"/>
      <c r="AC255" s="130"/>
      <c r="AD255" s="130"/>
    </row>
    <row r="256" ht="15.75" customHeight="1">
      <c r="A256" s="130"/>
      <c r="B256" s="131"/>
      <c r="C256" s="132"/>
      <c r="D256" s="133"/>
      <c r="E256" s="134"/>
      <c r="F256" s="133"/>
      <c r="G256" s="134"/>
      <c r="H256" s="132"/>
      <c r="I256" s="132"/>
      <c r="J256" s="135"/>
      <c r="K256" s="130"/>
      <c r="L256" s="130"/>
      <c r="M256" s="130"/>
      <c r="N256" s="130"/>
      <c r="O256" s="130"/>
      <c r="P256" s="130"/>
      <c r="Q256" s="130"/>
      <c r="R256" s="130"/>
      <c r="S256" s="130"/>
      <c r="T256" s="130"/>
      <c r="U256" s="130"/>
      <c r="V256" s="130"/>
      <c r="W256" s="130"/>
      <c r="X256" s="130"/>
      <c r="Y256" s="130"/>
      <c r="Z256" s="130"/>
      <c r="AA256" s="130"/>
      <c r="AB256" s="130"/>
      <c r="AC256" s="130"/>
      <c r="AD256" s="130"/>
    </row>
    <row r="257" ht="15.75" customHeight="1">
      <c r="A257" s="130"/>
      <c r="B257" s="131"/>
      <c r="C257" s="132"/>
      <c r="D257" s="133"/>
      <c r="E257" s="134"/>
      <c r="F257" s="133"/>
      <c r="G257" s="134"/>
      <c r="H257" s="132"/>
      <c r="I257" s="132"/>
      <c r="J257" s="135"/>
      <c r="K257" s="130"/>
      <c r="L257" s="130"/>
      <c r="M257" s="130"/>
      <c r="N257" s="130"/>
      <c r="O257" s="130"/>
      <c r="P257" s="130"/>
      <c r="Q257" s="130"/>
      <c r="R257" s="130"/>
      <c r="S257" s="130"/>
      <c r="T257" s="130"/>
      <c r="U257" s="130"/>
      <c r="V257" s="130"/>
      <c r="W257" s="130"/>
      <c r="X257" s="130"/>
      <c r="Y257" s="130"/>
      <c r="Z257" s="130"/>
      <c r="AA257" s="130"/>
      <c r="AB257" s="130"/>
      <c r="AC257" s="130"/>
      <c r="AD257" s="130"/>
    </row>
    <row r="258" ht="15.75" customHeight="1">
      <c r="A258" s="130"/>
      <c r="B258" s="131"/>
      <c r="C258" s="132"/>
      <c r="D258" s="133"/>
      <c r="E258" s="134"/>
      <c r="F258" s="133"/>
      <c r="G258" s="134"/>
      <c r="H258" s="132"/>
      <c r="I258" s="132"/>
      <c r="J258" s="135"/>
      <c r="K258" s="130"/>
      <c r="L258" s="130"/>
      <c r="M258" s="130"/>
      <c r="N258" s="130"/>
      <c r="O258" s="130"/>
      <c r="P258" s="130"/>
      <c r="Q258" s="130"/>
      <c r="R258" s="130"/>
      <c r="S258" s="130"/>
      <c r="T258" s="130"/>
      <c r="U258" s="130"/>
      <c r="V258" s="130"/>
      <c r="W258" s="130"/>
      <c r="X258" s="130"/>
      <c r="Y258" s="130"/>
      <c r="Z258" s="130"/>
      <c r="AA258" s="130"/>
      <c r="AB258" s="130"/>
      <c r="AC258" s="130"/>
      <c r="AD258" s="130"/>
    </row>
    <row r="259" ht="15.75" customHeight="1">
      <c r="A259" s="130"/>
      <c r="B259" s="131"/>
      <c r="C259" s="132"/>
      <c r="D259" s="133"/>
      <c r="E259" s="134"/>
      <c r="F259" s="133"/>
      <c r="G259" s="134"/>
      <c r="H259" s="132"/>
      <c r="I259" s="132"/>
      <c r="J259" s="135"/>
      <c r="K259" s="130"/>
      <c r="L259" s="130"/>
      <c r="M259" s="130"/>
      <c r="N259" s="130"/>
      <c r="O259" s="130"/>
      <c r="P259" s="130"/>
      <c r="Q259" s="130"/>
      <c r="R259" s="130"/>
      <c r="S259" s="130"/>
      <c r="T259" s="130"/>
      <c r="U259" s="130"/>
      <c r="V259" s="130"/>
      <c r="W259" s="130"/>
      <c r="X259" s="130"/>
      <c r="Y259" s="130"/>
      <c r="Z259" s="130"/>
      <c r="AA259" s="130"/>
      <c r="AB259" s="130"/>
      <c r="AC259" s="130"/>
      <c r="AD259" s="130"/>
    </row>
    <row r="260" ht="15.75" customHeight="1">
      <c r="A260" s="130"/>
      <c r="B260" s="131"/>
      <c r="C260" s="132"/>
      <c r="D260" s="133"/>
      <c r="E260" s="134"/>
      <c r="F260" s="133"/>
      <c r="G260" s="134"/>
      <c r="H260" s="132"/>
      <c r="I260" s="132"/>
      <c r="J260" s="135"/>
      <c r="K260" s="130"/>
      <c r="L260" s="130"/>
      <c r="M260" s="130"/>
      <c r="N260" s="130"/>
      <c r="O260" s="130"/>
      <c r="P260" s="130"/>
      <c r="Q260" s="130"/>
      <c r="R260" s="130"/>
      <c r="S260" s="130"/>
      <c r="T260" s="130"/>
      <c r="U260" s="130"/>
      <c r="V260" s="130"/>
      <c r="W260" s="130"/>
      <c r="X260" s="130"/>
      <c r="Y260" s="130"/>
      <c r="Z260" s="130"/>
      <c r="AA260" s="130"/>
      <c r="AB260" s="130"/>
      <c r="AC260" s="130"/>
      <c r="AD260" s="130"/>
    </row>
    <row r="261" ht="15.75" customHeight="1">
      <c r="A261" s="130"/>
      <c r="B261" s="131"/>
      <c r="C261" s="132"/>
      <c r="D261" s="133"/>
      <c r="E261" s="134"/>
      <c r="F261" s="133"/>
      <c r="G261" s="134"/>
      <c r="H261" s="132"/>
      <c r="I261" s="132"/>
      <c r="J261" s="135"/>
      <c r="K261" s="130"/>
      <c r="L261" s="130"/>
      <c r="M261" s="130"/>
      <c r="N261" s="130"/>
      <c r="O261" s="130"/>
      <c r="P261" s="130"/>
      <c r="Q261" s="130"/>
      <c r="R261" s="130"/>
      <c r="S261" s="130"/>
      <c r="T261" s="130"/>
      <c r="U261" s="130"/>
      <c r="V261" s="130"/>
      <c r="W261" s="130"/>
      <c r="X261" s="130"/>
      <c r="Y261" s="130"/>
      <c r="Z261" s="130"/>
      <c r="AA261" s="130"/>
      <c r="AB261" s="130"/>
      <c r="AC261" s="130"/>
      <c r="AD261" s="130"/>
    </row>
    <row r="262" ht="15.75" customHeight="1">
      <c r="A262" s="130"/>
      <c r="B262" s="131"/>
      <c r="C262" s="132"/>
      <c r="D262" s="133"/>
      <c r="E262" s="134"/>
      <c r="F262" s="133"/>
      <c r="G262" s="134"/>
      <c r="H262" s="132"/>
      <c r="I262" s="132"/>
      <c r="J262" s="135"/>
      <c r="K262" s="130"/>
      <c r="L262" s="130"/>
      <c r="M262" s="130"/>
      <c r="N262" s="130"/>
      <c r="O262" s="130"/>
      <c r="P262" s="130"/>
      <c r="Q262" s="130"/>
      <c r="R262" s="130"/>
      <c r="S262" s="130"/>
      <c r="T262" s="130"/>
      <c r="U262" s="130"/>
      <c r="V262" s="130"/>
      <c r="W262" s="130"/>
      <c r="X262" s="130"/>
      <c r="Y262" s="130"/>
      <c r="Z262" s="130"/>
      <c r="AA262" s="130"/>
      <c r="AB262" s="130"/>
      <c r="AC262" s="130"/>
      <c r="AD262" s="130"/>
    </row>
    <row r="263" ht="15.75" customHeight="1">
      <c r="A263" s="130"/>
      <c r="B263" s="131"/>
      <c r="C263" s="132"/>
      <c r="D263" s="133"/>
      <c r="E263" s="134"/>
      <c r="F263" s="133"/>
      <c r="G263" s="134"/>
      <c r="H263" s="132"/>
      <c r="I263" s="132"/>
      <c r="J263" s="135"/>
      <c r="K263" s="130"/>
      <c r="L263" s="130"/>
      <c r="M263" s="130"/>
      <c r="N263" s="130"/>
      <c r="O263" s="130"/>
      <c r="P263" s="130"/>
      <c r="Q263" s="130"/>
      <c r="R263" s="130"/>
      <c r="S263" s="130"/>
      <c r="T263" s="130"/>
      <c r="U263" s="130"/>
      <c r="V263" s="130"/>
      <c r="W263" s="130"/>
      <c r="X263" s="130"/>
      <c r="Y263" s="130"/>
      <c r="Z263" s="130"/>
      <c r="AA263" s="130"/>
      <c r="AB263" s="130"/>
      <c r="AC263" s="130"/>
      <c r="AD263" s="130"/>
    </row>
    <row r="264" ht="15.75" customHeight="1">
      <c r="A264" s="130"/>
      <c r="B264" s="131"/>
      <c r="C264" s="132"/>
      <c r="D264" s="133"/>
      <c r="E264" s="134"/>
      <c r="F264" s="133"/>
      <c r="G264" s="134"/>
      <c r="H264" s="132"/>
      <c r="I264" s="132"/>
      <c r="J264" s="135"/>
      <c r="K264" s="130"/>
      <c r="L264" s="130"/>
      <c r="M264" s="130"/>
      <c r="N264" s="130"/>
      <c r="O264" s="130"/>
      <c r="P264" s="130"/>
      <c r="Q264" s="130"/>
      <c r="R264" s="130"/>
      <c r="S264" s="130"/>
      <c r="T264" s="130"/>
      <c r="U264" s="130"/>
      <c r="V264" s="130"/>
      <c r="W264" s="130"/>
      <c r="X264" s="130"/>
      <c r="Y264" s="130"/>
      <c r="Z264" s="130"/>
      <c r="AA264" s="130"/>
      <c r="AB264" s="130"/>
      <c r="AC264" s="130"/>
      <c r="AD264" s="130"/>
    </row>
    <row r="265" ht="15.75" customHeight="1">
      <c r="A265" s="130"/>
      <c r="B265" s="131"/>
      <c r="C265" s="132"/>
      <c r="D265" s="133"/>
      <c r="E265" s="134"/>
      <c r="F265" s="133"/>
      <c r="G265" s="134"/>
      <c r="H265" s="132"/>
      <c r="I265" s="132"/>
      <c r="J265" s="135"/>
      <c r="K265" s="130"/>
      <c r="L265" s="130"/>
      <c r="M265" s="130"/>
      <c r="N265" s="130"/>
      <c r="O265" s="130"/>
      <c r="P265" s="130"/>
      <c r="Q265" s="130"/>
      <c r="R265" s="130"/>
      <c r="S265" s="130"/>
      <c r="T265" s="130"/>
      <c r="U265" s="130"/>
      <c r="V265" s="130"/>
      <c r="W265" s="130"/>
      <c r="X265" s="130"/>
      <c r="Y265" s="130"/>
      <c r="Z265" s="130"/>
      <c r="AA265" s="130"/>
      <c r="AB265" s="130"/>
      <c r="AC265" s="130"/>
      <c r="AD265" s="130"/>
    </row>
    <row r="266" ht="15.75" customHeight="1">
      <c r="A266" s="130"/>
      <c r="B266" s="131"/>
      <c r="C266" s="132"/>
      <c r="D266" s="133"/>
      <c r="E266" s="134"/>
      <c r="F266" s="133"/>
      <c r="G266" s="134"/>
      <c r="H266" s="132"/>
      <c r="I266" s="132"/>
      <c r="J266" s="135"/>
      <c r="K266" s="130"/>
      <c r="L266" s="130"/>
      <c r="M266" s="130"/>
      <c r="N266" s="130"/>
      <c r="O266" s="130"/>
      <c r="P266" s="130"/>
      <c r="Q266" s="130"/>
      <c r="R266" s="130"/>
      <c r="S266" s="130"/>
      <c r="T266" s="130"/>
      <c r="U266" s="130"/>
      <c r="V266" s="130"/>
      <c r="W266" s="130"/>
      <c r="X266" s="130"/>
      <c r="Y266" s="130"/>
      <c r="Z266" s="130"/>
      <c r="AA266" s="130"/>
      <c r="AB266" s="130"/>
      <c r="AC266" s="130"/>
      <c r="AD266" s="130"/>
    </row>
    <row r="267" ht="15.75" customHeight="1">
      <c r="A267" s="130"/>
      <c r="B267" s="131"/>
      <c r="C267" s="132"/>
      <c r="D267" s="133"/>
      <c r="E267" s="134"/>
      <c r="F267" s="133"/>
      <c r="G267" s="134"/>
      <c r="H267" s="132"/>
      <c r="I267" s="132"/>
      <c r="J267" s="135"/>
      <c r="K267" s="130"/>
      <c r="L267" s="130"/>
      <c r="M267" s="130"/>
      <c r="N267" s="130"/>
      <c r="O267" s="130"/>
      <c r="P267" s="130"/>
      <c r="Q267" s="130"/>
      <c r="R267" s="130"/>
      <c r="S267" s="130"/>
      <c r="T267" s="130"/>
      <c r="U267" s="130"/>
      <c r="V267" s="130"/>
      <c r="W267" s="130"/>
      <c r="X267" s="130"/>
      <c r="Y267" s="130"/>
      <c r="Z267" s="130"/>
      <c r="AA267" s="130"/>
      <c r="AB267" s="130"/>
      <c r="AC267" s="130"/>
      <c r="AD267" s="130"/>
    </row>
    <row r="268" ht="15.75" customHeight="1">
      <c r="A268" s="130"/>
      <c r="B268" s="131"/>
      <c r="C268" s="132"/>
      <c r="D268" s="133"/>
      <c r="E268" s="134"/>
      <c r="F268" s="133"/>
      <c r="G268" s="134"/>
      <c r="H268" s="132"/>
      <c r="I268" s="132"/>
      <c r="J268" s="135"/>
      <c r="K268" s="130"/>
      <c r="L268" s="130"/>
      <c r="M268" s="130"/>
      <c r="N268" s="130"/>
      <c r="O268" s="130"/>
      <c r="P268" s="130"/>
      <c r="Q268" s="130"/>
      <c r="R268" s="130"/>
      <c r="S268" s="130"/>
      <c r="T268" s="130"/>
      <c r="U268" s="130"/>
      <c r="V268" s="130"/>
      <c r="W268" s="130"/>
      <c r="X268" s="130"/>
      <c r="Y268" s="130"/>
      <c r="Z268" s="130"/>
      <c r="AA268" s="130"/>
      <c r="AB268" s="130"/>
      <c r="AC268" s="130"/>
      <c r="AD268" s="130"/>
    </row>
    <row r="269" ht="15.75" customHeight="1">
      <c r="A269" s="130"/>
      <c r="B269" s="131"/>
      <c r="C269" s="132"/>
      <c r="D269" s="133"/>
      <c r="E269" s="134"/>
      <c r="F269" s="133"/>
      <c r="G269" s="134"/>
      <c r="H269" s="132"/>
      <c r="I269" s="132"/>
      <c r="J269" s="135"/>
      <c r="K269" s="130"/>
      <c r="L269" s="130"/>
      <c r="M269" s="130"/>
      <c r="N269" s="130"/>
      <c r="O269" s="130"/>
      <c r="P269" s="130"/>
      <c r="Q269" s="130"/>
      <c r="R269" s="130"/>
      <c r="S269" s="130"/>
      <c r="T269" s="130"/>
      <c r="U269" s="130"/>
      <c r="V269" s="130"/>
      <c r="W269" s="130"/>
      <c r="X269" s="130"/>
      <c r="Y269" s="130"/>
      <c r="Z269" s="130"/>
      <c r="AA269" s="130"/>
      <c r="AB269" s="130"/>
      <c r="AC269" s="130"/>
      <c r="AD269" s="130"/>
    </row>
    <row r="270" ht="15.75" customHeight="1">
      <c r="A270" s="130"/>
      <c r="B270" s="131"/>
      <c r="C270" s="132"/>
      <c r="D270" s="133"/>
      <c r="E270" s="134"/>
      <c r="F270" s="133"/>
      <c r="G270" s="134"/>
      <c r="H270" s="132"/>
      <c r="I270" s="132"/>
      <c r="J270" s="135"/>
      <c r="K270" s="130"/>
      <c r="L270" s="130"/>
      <c r="M270" s="130"/>
      <c r="N270" s="130"/>
      <c r="O270" s="130"/>
      <c r="P270" s="130"/>
      <c r="Q270" s="130"/>
      <c r="R270" s="130"/>
      <c r="S270" s="130"/>
      <c r="T270" s="130"/>
      <c r="U270" s="130"/>
      <c r="V270" s="130"/>
      <c r="W270" s="130"/>
      <c r="X270" s="130"/>
      <c r="Y270" s="130"/>
      <c r="Z270" s="130"/>
      <c r="AA270" s="130"/>
      <c r="AB270" s="130"/>
      <c r="AC270" s="130"/>
      <c r="AD270" s="130"/>
    </row>
    <row r="271" ht="15.75" customHeight="1">
      <c r="A271" s="130"/>
      <c r="B271" s="131"/>
      <c r="C271" s="132"/>
      <c r="D271" s="133"/>
      <c r="E271" s="134"/>
      <c r="F271" s="133"/>
      <c r="G271" s="134"/>
      <c r="H271" s="132"/>
      <c r="I271" s="132"/>
      <c r="J271" s="135"/>
      <c r="K271" s="130"/>
      <c r="L271" s="130"/>
      <c r="M271" s="130"/>
      <c r="N271" s="130"/>
      <c r="O271" s="130"/>
      <c r="P271" s="130"/>
      <c r="Q271" s="130"/>
      <c r="R271" s="130"/>
      <c r="S271" s="130"/>
      <c r="T271" s="130"/>
      <c r="U271" s="130"/>
      <c r="V271" s="130"/>
      <c r="W271" s="130"/>
      <c r="X271" s="130"/>
      <c r="Y271" s="130"/>
      <c r="Z271" s="130"/>
      <c r="AA271" s="130"/>
      <c r="AB271" s="130"/>
      <c r="AC271" s="130"/>
      <c r="AD271" s="130"/>
    </row>
    <row r="272" ht="15.75" customHeight="1">
      <c r="A272" s="130"/>
      <c r="B272" s="131"/>
      <c r="C272" s="132"/>
      <c r="D272" s="133"/>
      <c r="E272" s="134"/>
      <c r="F272" s="133"/>
      <c r="G272" s="134"/>
      <c r="H272" s="132"/>
      <c r="I272" s="132"/>
      <c r="J272" s="135"/>
      <c r="K272" s="130"/>
      <c r="L272" s="130"/>
      <c r="M272" s="130"/>
      <c r="N272" s="130"/>
      <c r="O272" s="130"/>
      <c r="P272" s="130"/>
      <c r="Q272" s="130"/>
      <c r="R272" s="130"/>
      <c r="S272" s="130"/>
      <c r="T272" s="130"/>
      <c r="U272" s="130"/>
      <c r="V272" s="130"/>
      <c r="W272" s="130"/>
      <c r="X272" s="130"/>
      <c r="Y272" s="130"/>
      <c r="Z272" s="130"/>
      <c r="AA272" s="130"/>
      <c r="AB272" s="130"/>
      <c r="AC272" s="130"/>
      <c r="AD272" s="130"/>
    </row>
    <row r="273" ht="15.75" customHeight="1">
      <c r="A273" s="130"/>
      <c r="B273" s="131"/>
      <c r="C273" s="132"/>
      <c r="D273" s="133"/>
      <c r="E273" s="134"/>
      <c r="F273" s="133"/>
      <c r="G273" s="134"/>
      <c r="H273" s="132"/>
      <c r="I273" s="132"/>
      <c r="J273" s="135"/>
      <c r="K273" s="130"/>
      <c r="L273" s="130"/>
      <c r="M273" s="130"/>
      <c r="N273" s="130"/>
      <c r="O273" s="130"/>
      <c r="P273" s="130"/>
      <c r="Q273" s="130"/>
      <c r="R273" s="130"/>
      <c r="S273" s="130"/>
      <c r="T273" s="130"/>
      <c r="U273" s="130"/>
      <c r="V273" s="130"/>
      <c r="W273" s="130"/>
      <c r="X273" s="130"/>
      <c r="Y273" s="130"/>
      <c r="Z273" s="130"/>
      <c r="AA273" s="130"/>
      <c r="AB273" s="130"/>
      <c r="AC273" s="130"/>
      <c r="AD273" s="130"/>
    </row>
    <row r="274" ht="15.75" customHeight="1">
      <c r="A274" s="130"/>
      <c r="B274" s="131"/>
      <c r="C274" s="132"/>
      <c r="D274" s="133"/>
      <c r="E274" s="134"/>
      <c r="F274" s="133"/>
      <c r="G274" s="134"/>
      <c r="H274" s="132"/>
      <c r="I274" s="132"/>
      <c r="J274" s="135"/>
      <c r="K274" s="130"/>
      <c r="L274" s="130"/>
      <c r="M274" s="130"/>
      <c r="N274" s="130"/>
      <c r="O274" s="130"/>
      <c r="P274" s="130"/>
      <c r="Q274" s="130"/>
      <c r="R274" s="130"/>
      <c r="S274" s="130"/>
      <c r="T274" s="130"/>
      <c r="U274" s="130"/>
      <c r="V274" s="130"/>
      <c r="W274" s="130"/>
      <c r="X274" s="130"/>
      <c r="Y274" s="130"/>
      <c r="Z274" s="130"/>
      <c r="AA274" s="130"/>
      <c r="AB274" s="130"/>
      <c r="AC274" s="130"/>
      <c r="AD274" s="130"/>
    </row>
    <row r="275" ht="15.75" customHeight="1">
      <c r="A275" s="130"/>
      <c r="B275" s="131"/>
      <c r="C275" s="132"/>
      <c r="D275" s="133"/>
      <c r="E275" s="134"/>
      <c r="F275" s="133"/>
      <c r="G275" s="134"/>
      <c r="H275" s="132"/>
      <c r="I275" s="132"/>
      <c r="J275" s="135"/>
      <c r="K275" s="130"/>
      <c r="L275" s="130"/>
      <c r="M275" s="130"/>
      <c r="N275" s="130"/>
      <c r="O275" s="130"/>
      <c r="P275" s="130"/>
      <c r="Q275" s="130"/>
      <c r="R275" s="130"/>
      <c r="S275" s="130"/>
      <c r="T275" s="130"/>
      <c r="U275" s="130"/>
      <c r="V275" s="130"/>
      <c r="W275" s="130"/>
      <c r="X275" s="130"/>
      <c r="Y275" s="130"/>
      <c r="Z275" s="130"/>
      <c r="AA275" s="130"/>
      <c r="AB275" s="130"/>
      <c r="AC275" s="130"/>
      <c r="AD275" s="130"/>
    </row>
    <row r="276" ht="15.75" customHeight="1">
      <c r="A276" s="130"/>
      <c r="B276" s="131"/>
      <c r="C276" s="132"/>
      <c r="D276" s="133"/>
      <c r="E276" s="134"/>
      <c r="F276" s="133"/>
      <c r="G276" s="134"/>
      <c r="H276" s="132"/>
      <c r="I276" s="132"/>
      <c r="J276" s="135"/>
      <c r="K276" s="130"/>
      <c r="L276" s="130"/>
      <c r="M276" s="130"/>
      <c r="N276" s="130"/>
      <c r="O276" s="130"/>
      <c r="P276" s="130"/>
      <c r="Q276" s="130"/>
      <c r="R276" s="130"/>
      <c r="S276" s="130"/>
      <c r="T276" s="130"/>
      <c r="U276" s="130"/>
      <c r="V276" s="130"/>
      <c r="W276" s="130"/>
      <c r="X276" s="130"/>
      <c r="Y276" s="130"/>
      <c r="Z276" s="130"/>
      <c r="AA276" s="130"/>
      <c r="AB276" s="130"/>
      <c r="AC276" s="130"/>
      <c r="AD276" s="130"/>
    </row>
    <row r="277" ht="15.75" customHeight="1">
      <c r="A277" s="130"/>
      <c r="B277" s="131"/>
      <c r="C277" s="132"/>
      <c r="D277" s="133"/>
      <c r="E277" s="134"/>
      <c r="F277" s="133"/>
      <c r="G277" s="134"/>
      <c r="H277" s="132"/>
      <c r="I277" s="132"/>
      <c r="J277" s="135"/>
      <c r="K277" s="130"/>
      <c r="L277" s="130"/>
      <c r="M277" s="130"/>
      <c r="N277" s="130"/>
      <c r="O277" s="130"/>
      <c r="P277" s="130"/>
      <c r="Q277" s="130"/>
      <c r="R277" s="130"/>
      <c r="S277" s="130"/>
      <c r="T277" s="130"/>
      <c r="U277" s="130"/>
      <c r="V277" s="130"/>
      <c r="W277" s="130"/>
      <c r="X277" s="130"/>
      <c r="Y277" s="130"/>
      <c r="Z277" s="130"/>
      <c r="AA277" s="130"/>
      <c r="AB277" s="130"/>
      <c r="AC277" s="130"/>
      <c r="AD277" s="130"/>
    </row>
    <row r="278" ht="15.75" customHeight="1">
      <c r="A278" s="130"/>
      <c r="B278" s="131"/>
      <c r="C278" s="132"/>
      <c r="D278" s="133"/>
      <c r="E278" s="134"/>
      <c r="F278" s="133"/>
      <c r="G278" s="134"/>
      <c r="H278" s="132"/>
      <c r="I278" s="132"/>
      <c r="J278" s="135"/>
      <c r="K278" s="130"/>
      <c r="L278" s="130"/>
      <c r="M278" s="130"/>
      <c r="N278" s="130"/>
      <c r="O278" s="130"/>
      <c r="P278" s="130"/>
      <c r="Q278" s="130"/>
      <c r="R278" s="130"/>
      <c r="S278" s="130"/>
      <c r="T278" s="130"/>
      <c r="U278" s="130"/>
      <c r="V278" s="130"/>
      <c r="W278" s="130"/>
      <c r="X278" s="130"/>
      <c r="Y278" s="130"/>
      <c r="Z278" s="130"/>
      <c r="AA278" s="130"/>
      <c r="AB278" s="130"/>
      <c r="AC278" s="130"/>
      <c r="AD278" s="130"/>
    </row>
    <row r="279" ht="15.75" customHeight="1">
      <c r="A279" s="130"/>
      <c r="B279" s="131"/>
      <c r="C279" s="132"/>
      <c r="D279" s="133"/>
      <c r="E279" s="134"/>
      <c r="F279" s="133"/>
      <c r="G279" s="134"/>
      <c r="H279" s="132"/>
      <c r="I279" s="132"/>
      <c r="J279" s="135"/>
      <c r="K279" s="130"/>
      <c r="L279" s="130"/>
      <c r="M279" s="130"/>
      <c r="N279" s="130"/>
      <c r="O279" s="130"/>
      <c r="P279" s="130"/>
      <c r="Q279" s="130"/>
      <c r="R279" s="130"/>
      <c r="S279" s="130"/>
      <c r="T279" s="130"/>
      <c r="U279" s="130"/>
      <c r="V279" s="130"/>
      <c r="W279" s="130"/>
      <c r="X279" s="130"/>
      <c r="Y279" s="130"/>
      <c r="Z279" s="130"/>
      <c r="AA279" s="130"/>
      <c r="AB279" s="130"/>
      <c r="AC279" s="130"/>
      <c r="AD279" s="130"/>
    </row>
    <row r="280" ht="15.75" customHeight="1">
      <c r="A280" s="130"/>
      <c r="B280" s="131"/>
      <c r="C280" s="132"/>
      <c r="D280" s="133"/>
      <c r="E280" s="134"/>
      <c r="F280" s="133"/>
      <c r="G280" s="134"/>
      <c r="H280" s="132"/>
      <c r="I280" s="132"/>
      <c r="J280" s="135"/>
      <c r="K280" s="130"/>
      <c r="L280" s="130"/>
      <c r="M280" s="130"/>
      <c r="N280" s="130"/>
      <c r="O280" s="130"/>
      <c r="P280" s="130"/>
      <c r="Q280" s="130"/>
      <c r="R280" s="130"/>
      <c r="S280" s="130"/>
      <c r="T280" s="130"/>
      <c r="U280" s="130"/>
      <c r="V280" s="130"/>
      <c r="W280" s="130"/>
      <c r="X280" s="130"/>
      <c r="Y280" s="130"/>
      <c r="Z280" s="130"/>
      <c r="AA280" s="130"/>
      <c r="AB280" s="130"/>
      <c r="AC280" s="130"/>
      <c r="AD280" s="130"/>
    </row>
    <row r="281" ht="15.75" customHeight="1">
      <c r="A281" s="130"/>
      <c r="B281" s="131"/>
      <c r="C281" s="132"/>
      <c r="D281" s="133"/>
      <c r="E281" s="134"/>
      <c r="F281" s="133"/>
      <c r="G281" s="134"/>
      <c r="H281" s="132"/>
      <c r="I281" s="132"/>
      <c r="J281" s="135"/>
      <c r="K281" s="130"/>
      <c r="L281" s="130"/>
      <c r="M281" s="130"/>
      <c r="N281" s="130"/>
      <c r="O281" s="130"/>
      <c r="P281" s="130"/>
      <c r="Q281" s="130"/>
      <c r="R281" s="130"/>
      <c r="S281" s="130"/>
      <c r="T281" s="130"/>
      <c r="U281" s="130"/>
      <c r="V281" s="130"/>
      <c r="W281" s="130"/>
      <c r="X281" s="130"/>
      <c r="Y281" s="130"/>
      <c r="Z281" s="130"/>
      <c r="AA281" s="130"/>
      <c r="AB281" s="130"/>
      <c r="AC281" s="130"/>
      <c r="AD281" s="130"/>
    </row>
    <row r="282" ht="15.75" customHeight="1">
      <c r="A282" s="130"/>
      <c r="B282" s="131"/>
      <c r="C282" s="132"/>
      <c r="D282" s="133"/>
      <c r="E282" s="134"/>
      <c r="F282" s="133"/>
      <c r="G282" s="134"/>
      <c r="H282" s="132"/>
      <c r="I282" s="132"/>
      <c r="J282" s="135"/>
      <c r="K282" s="130"/>
      <c r="L282" s="130"/>
      <c r="M282" s="130"/>
      <c r="N282" s="130"/>
      <c r="O282" s="130"/>
      <c r="P282" s="130"/>
      <c r="Q282" s="130"/>
      <c r="R282" s="130"/>
      <c r="S282" s="130"/>
      <c r="T282" s="130"/>
      <c r="U282" s="130"/>
      <c r="V282" s="130"/>
      <c r="W282" s="130"/>
      <c r="X282" s="130"/>
      <c r="Y282" s="130"/>
      <c r="Z282" s="130"/>
      <c r="AA282" s="130"/>
      <c r="AB282" s="130"/>
      <c r="AC282" s="130"/>
      <c r="AD282" s="130"/>
    </row>
    <row r="283" ht="15.75" customHeight="1">
      <c r="A283" s="130"/>
      <c r="B283" s="131"/>
      <c r="C283" s="132"/>
      <c r="D283" s="133"/>
      <c r="E283" s="134"/>
      <c r="F283" s="133"/>
      <c r="G283" s="134"/>
      <c r="H283" s="132"/>
      <c r="I283" s="132"/>
      <c r="J283" s="135"/>
      <c r="K283" s="130"/>
      <c r="L283" s="130"/>
      <c r="M283" s="130"/>
      <c r="N283" s="130"/>
      <c r="O283" s="130"/>
      <c r="P283" s="130"/>
      <c r="Q283" s="130"/>
      <c r="R283" s="130"/>
      <c r="S283" s="130"/>
      <c r="T283" s="130"/>
      <c r="U283" s="130"/>
      <c r="V283" s="130"/>
      <c r="W283" s="130"/>
      <c r="X283" s="130"/>
      <c r="Y283" s="130"/>
      <c r="Z283" s="130"/>
      <c r="AA283" s="130"/>
      <c r="AB283" s="130"/>
      <c r="AC283" s="130"/>
      <c r="AD283" s="130"/>
    </row>
    <row r="284" ht="15.75" customHeight="1">
      <c r="A284" s="130"/>
      <c r="B284" s="131"/>
      <c r="C284" s="132"/>
      <c r="D284" s="133"/>
      <c r="E284" s="134"/>
      <c r="F284" s="133"/>
      <c r="G284" s="134"/>
      <c r="H284" s="132"/>
      <c r="I284" s="132"/>
      <c r="J284" s="135"/>
      <c r="K284" s="130"/>
      <c r="L284" s="130"/>
      <c r="M284" s="130"/>
      <c r="N284" s="130"/>
      <c r="O284" s="130"/>
      <c r="P284" s="130"/>
      <c r="Q284" s="130"/>
      <c r="R284" s="130"/>
      <c r="S284" s="130"/>
      <c r="T284" s="130"/>
      <c r="U284" s="130"/>
      <c r="V284" s="130"/>
      <c r="W284" s="130"/>
      <c r="X284" s="130"/>
      <c r="Y284" s="130"/>
      <c r="Z284" s="130"/>
      <c r="AA284" s="130"/>
      <c r="AB284" s="130"/>
      <c r="AC284" s="130"/>
      <c r="AD284" s="130"/>
    </row>
    <row r="285" ht="15.75" customHeight="1">
      <c r="A285" s="130"/>
      <c r="B285" s="131"/>
      <c r="C285" s="132"/>
      <c r="D285" s="133"/>
      <c r="E285" s="134"/>
      <c r="F285" s="133"/>
      <c r="G285" s="134"/>
      <c r="H285" s="132"/>
      <c r="I285" s="132"/>
      <c r="J285" s="135"/>
      <c r="K285" s="130"/>
      <c r="L285" s="130"/>
      <c r="M285" s="130"/>
      <c r="N285" s="130"/>
      <c r="O285" s="130"/>
      <c r="P285" s="130"/>
      <c r="Q285" s="130"/>
      <c r="R285" s="130"/>
      <c r="S285" s="130"/>
      <c r="T285" s="130"/>
      <c r="U285" s="130"/>
      <c r="V285" s="130"/>
      <c r="W285" s="130"/>
      <c r="X285" s="130"/>
      <c r="Y285" s="130"/>
      <c r="Z285" s="130"/>
      <c r="AA285" s="130"/>
      <c r="AB285" s="130"/>
      <c r="AC285" s="130"/>
      <c r="AD285" s="130"/>
    </row>
    <row r="286" ht="15.75" customHeight="1">
      <c r="A286" s="130"/>
      <c r="B286" s="131"/>
      <c r="C286" s="132"/>
      <c r="D286" s="133"/>
      <c r="E286" s="134"/>
      <c r="F286" s="133"/>
      <c r="G286" s="134"/>
      <c r="H286" s="132"/>
      <c r="I286" s="132"/>
      <c r="J286" s="135"/>
      <c r="K286" s="130"/>
      <c r="L286" s="130"/>
      <c r="M286" s="130"/>
      <c r="N286" s="130"/>
      <c r="O286" s="130"/>
      <c r="P286" s="130"/>
      <c r="Q286" s="130"/>
      <c r="R286" s="130"/>
      <c r="S286" s="130"/>
      <c r="T286" s="130"/>
      <c r="U286" s="130"/>
      <c r="V286" s="130"/>
      <c r="W286" s="130"/>
      <c r="X286" s="130"/>
      <c r="Y286" s="130"/>
      <c r="Z286" s="130"/>
      <c r="AA286" s="130"/>
      <c r="AB286" s="130"/>
      <c r="AC286" s="130"/>
      <c r="AD286" s="130"/>
    </row>
    <row r="287" ht="15.75" customHeight="1">
      <c r="A287" s="130"/>
      <c r="B287" s="131"/>
      <c r="C287" s="132"/>
      <c r="D287" s="133"/>
      <c r="E287" s="134"/>
      <c r="F287" s="133"/>
      <c r="G287" s="134"/>
      <c r="H287" s="132"/>
      <c r="I287" s="132"/>
      <c r="J287" s="135"/>
      <c r="K287" s="130"/>
      <c r="L287" s="130"/>
      <c r="M287" s="130"/>
      <c r="N287" s="130"/>
      <c r="O287" s="130"/>
      <c r="P287" s="130"/>
      <c r="Q287" s="130"/>
      <c r="R287" s="130"/>
      <c r="S287" s="130"/>
      <c r="T287" s="130"/>
      <c r="U287" s="130"/>
      <c r="V287" s="130"/>
      <c r="W287" s="130"/>
      <c r="X287" s="130"/>
      <c r="Y287" s="130"/>
      <c r="Z287" s="130"/>
      <c r="AA287" s="130"/>
      <c r="AB287" s="130"/>
      <c r="AC287" s="130"/>
      <c r="AD287" s="130"/>
    </row>
    <row r="288" ht="15.75" customHeight="1">
      <c r="A288" s="130"/>
      <c r="B288" s="131"/>
      <c r="C288" s="132"/>
      <c r="D288" s="133"/>
      <c r="E288" s="134"/>
      <c r="F288" s="133"/>
      <c r="G288" s="134"/>
      <c r="H288" s="132"/>
      <c r="I288" s="132"/>
      <c r="J288" s="135"/>
      <c r="K288" s="130"/>
      <c r="L288" s="130"/>
      <c r="M288" s="130"/>
      <c r="N288" s="130"/>
      <c r="O288" s="130"/>
      <c r="P288" s="130"/>
      <c r="Q288" s="130"/>
      <c r="R288" s="130"/>
      <c r="S288" s="130"/>
      <c r="T288" s="130"/>
      <c r="U288" s="130"/>
      <c r="V288" s="130"/>
      <c r="W288" s="130"/>
      <c r="X288" s="130"/>
      <c r="Y288" s="130"/>
      <c r="Z288" s="130"/>
      <c r="AA288" s="130"/>
      <c r="AB288" s="130"/>
      <c r="AC288" s="130"/>
      <c r="AD288" s="130"/>
    </row>
    <row r="289" ht="15.75" customHeight="1">
      <c r="A289" s="130"/>
      <c r="B289" s="131"/>
      <c r="C289" s="132"/>
      <c r="D289" s="133"/>
      <c r="E289" s="134"/>
      <c r="F289" s="133"/>
      <c r="G289" s="134"/>
      <c r="H289" s="132"/>
      <c r="I289" s="132"/>
      <c r="J289" s="135"/>
      <c r="K289" s="130"/>
      <c r="L289" s="130"/>
      <c r="M289" s="130"/>
      <c r="N289" s="130"/>
      <c r="O289" s="130"/>
      <c r="P289" s="130"/>
      <c r="Q289" s="130"/>
      <c r="R289" s="130"/>
      <c r="S289" s="130"/>
      <c r="T289" s="130"/>
      <c r="U289" s="130"/>
      <c r="V289" s="130"/>
      <c r="W289" s="130"/>
      <c r="X289" s="130"/>
      <c r="Y289" s="130"/>
      <c r="Z289" s="130"/>
      <c r="AA289" s="130"/>
      <c r="AB289" s="130"/>
      <c r="AC289" s="130"/>
      <c r="AD289" s="130"/>
    </row>
    <row r="290" ht="15.75" customHeight="1">
      <c r="A290" s="130"/>
      <c r="B290" s="131"/>
      <c r="C290" s="132"/>
      <c r="D290" s="133"/>
      <c r="E290" s="134"/>
      <c r="F290" s="133"/>
      <c r="G290" s="134"/>
      <c r="H290" s="132"/>
      <c r="I290" s="132"/>
      <c r="J290" s="135"/>
      <c r="K290" s="130"/>
      <c r="L290" s="130"/>
      <c r="M290" s="130"/>
      <c r="N290" s="130"/>
      <c r="O290" s="130"/>
      <c r="P290" s="130"/>
      <c r="Q290" s="130"/>
      <c r="R290" s="130"/>
      <c r="S290" s="130"/>
      <c r="T290" s="130"/>
      <c r="U290" s="130"/>
      <c r="V290" s="130"/>
      <c r="W290" s="130"/>
      <c r="X290" s="130"/>
      <c r="Y290" s="130"/>
      <c r="Z290" s="130"/>
      <c r="AA290" s="130"/>
      <c r="AB290" s="130"/>
      <c r="AC290" s="130"/>
      <c r="AD290" s="130"/>
    </row>
    <row r="291" ht="15.75" customHeight="1">
      <c r="A291" s="130"/>
      <c r="B291" s="131"/>
      <c r="C291" s="132"/>
      <c r="D291" s="133"/>
      <c r="E291" s="134"/>
      <c r="F291" s="133"/>
      <c r="G291" s="134"/>
      <c r="H291" s="132"/>
      <c r="I291" s="132"/>
      <c r="J291" s="135"/>
      <c r="K291" s="130"/>
      <c r="L291" s="130"/>
      <c r="M291" s="130"/>
      <c r="N291" s="130"/>
      <c r="O291" s="130"/>
      <c r="P291" s="130"/>
      <c r="Q291" s="130"/>
      <c r="R291" s="130"/>
      <c r="S291" s="130"/>
      <c r="T291" s="130"/>
      <c r="U291" s="130"/>
      <c r="V291" s="130"/>
      <c r="W291" s="130"/>
      <c r="X291" s="130"/>
      <c r="Y291" s="130"/>
      <c r="Z291" s="130"/>
      <c r="AA291" s="130"/>
      <c r="AB291" s="130"/>
      <c r="AC291" s="130"/>
      <c r="AD291" s="130"/>
    </row>
    <row r="292" ht="15.75" customHeight="1">
      <c r="A292" s="130"/>
      <c r="B292" s="131"/>
      <c r="C292" s="132"/>
      <c r="D292" s="133"/>
      <c r="E292" s="134"/>
      <c r="F292" s="133"/>
      <c r="G292" s="134"/>
      <c r="H292" s="132"/>
      <c r="I292" s="132"/>
      <c r="J292" s="135"/>
      <c r="K292" s="130"/>
      <c r="L292" s="130"/>
      <c r="M292" s="130"/>
      <c r="N292" s="130"/>
      <c r="O292" s="130"/>
      <c r="P292" s="130"/>
      <c r="Q292" s="130"/>
      <c r="R292" s="130"/>
      <c r="S292" s="130"/>
      <c r="T292" s="130"/>
      <c r="U292" s="130"/>
      <c r="V292" s="130"/>
      <c r="W292" s="130"/>
      <c r="X292" s="130"/>
      <c r="Y292" s="130"/>
      <c r="Z292" s="130"/>
      <c r="AA292" s="130"/>
      <c r="AB292" s="130"/>
      <c r="AC292" s="130"/>
      <c r="AD292" s="130"/>
    </row>
    <row r="293" ht="15.75" customHeight="1">
      <c r="A293" s="130"/>
      <c r="B293" s="131"/>
      <c r="C293" s="132"/>
      <c r="D293" s="133"/>
      <c r="E293" s="134"/>
      <c r="F293" s="133"/>
      <c r="G293" s="134"/>
      <c r="H293" s="132"/>
      <c r="I293" s="132"/>
      <c r="J293" s="135"/>
      <c r="K293" s="130"/>
      <c r="L293" s="130"/>
      <c r="M293" s="130"/>
      <c r="N293" s="130"/>
      <c r="O293" s="130"/>
      <c r="P293" s="130"/>
      <c r="Q293" s="130"/>
      <c r="R293" s="130"/>
      <c r="S293" s="130"/>
      <c r="T293" s="130"/>
      <c r="U293" s="130"/>
      <c r="V293" s="130"/>
      <c r="W293" s="130"/>
      <c r="X293" s="130"/>
      <c r="Y293" s="130"/>
      <c r="Z293" s="130"/>
      <c r="AA293" s="130"/>
      <c r="AB293" s="130"/>
      <c r="AC293" s="130"/>
      <c r="AD293" s="130"/>
    </row>
    <row r="294" ht="15.75" customHeight="1">
      <c r="A294" s="130"/>
      <c r="B294" s="131"/>
      <c r="C294" s="132"/>
      <c r="D294" s="133"/>
      <c r="E294" s="134"/>
      <c r="F294" s="133"/>
      <c r="G294" s="134"/>
      <c r="H294" s="132"/>
      <c r="I294" s="132"/>
      <c r="J294" s="135"/>
      <c r="K294" s="130"/>
      <c r="L294" s="130"/>
      <c r="M294" s="130"/>
      <c r="N294" s="130"/>
      <c r="O294" s="130"/>
      <c r="P294" s="130"/>
      <c r="Q294" s="130"/>
      <c r="R294" s="130"/>
      <c r="S294" s="130"/>
      <c r="T294" s="130"/>
      <c r="U294" s="130"/>
      <c r="V294" s="130"/>
      <c r="W294" s="130"/>
      <c r="X294" s="130"/>
      <c r="Y294" s="130"/>
      <c r="Z294" s="130"/>
      <c r="AA294" s="130"/>
      <c r="AB294" s="130"/>
      <c r="AC294" s="130"/>
      <c r="AD294" s="130"/>
    </row>
    <row r="295" ht="15.75" customHeight="1">
      <c r="A295" s="130"/>
      <c r="B295" s="131"/>
      <c r="C295" s="132"/>
      <c r="D295" s="133"/>
      <c r="E295" s="134"/>
      <c r="F295" s="133"/>
      <c r="G295" s="134"/>
      <c r="H295" s="132"/>
      <c r="I295" s="132"/>
      <c r="J295" s="135"/>
      <c r="K295" s="130"/>
      <c r="L295" s="130"/>
      <c r="M295" s="130"/>
      <c r="N295" s="130"/>
      <c r="O295" s="130"/>
      <c r="P295" s="130"/>
      <c r="Q295" s="130"/>
      <c r="R295" s="130"/>
      <c r="S295" s="130"/>
      <c r="T295" s="130"/>
      <c r="U295" s="130"/>
      <c r="V295" s="130"/>
      <c r="W295" s="130"/>
      <c r="X295" s="130"/>
      <c r="Y295" s="130"/>
      <c r="Z295" s="130"/>
      <c r="AA295" s="130"/>
      <c r="AB295" s="130"/>
      <c r="AC295" s="130"/>
      <c r="AD295" s="130"/>
    </row>
    <row r="296" ht="15.75" customHeight="1">
      <c r="A296" s="130"/>
      <c r="B296" s="131"/>
      <c r="C296" s="132"/>
      <c r="D296" s="133"/>
      <c r="E296" s="134"/>
      <c r="F296" s="133"/>
      <c r="G296" s="134"/>
      <c r="H296" s="132"/>
      <c r="I296" s="132"/>
      <c r="J296" s="135"/>
      <c r="K296" s="130"/>
      <c r="L296" s="130"/>
      <c r="M296" s="130"/>
      <c r="N296" s="130"/>
      <c r="O296" s="130"/>
      <c r="P296" s="130"/>
      <c r="Q296" s="130"/>
      <c r="R296" s="130"/>
      <c r="S296" s="130"/>
      <c r="T296" s="130"/>
      <c r="U296" s="130"/>
      <c r="V296" s="130"/>
      <c r="W296" s="130"/>
      <c r="X296" s="130"/>
      <c r="Y296" s="130"/>
      <c r="Z296" s="130"/>
      <c r="AA296" s="130"/>
      <c r="AB296" s="130"/>
      <c r="AC296" s="130"/>
      <c r="AD296" s="130"/>
    </row>
    <row r="297" ht="15.75" customHeight="1">
      <c r="A297" s="130"/>
      <c r="B297" s="131"/>
      <c r="C297" s="132"/>
      <c r="D297" s="133"/>
      <c r="E297" s="134"/>
      <c r="F297" s="133"/>
      <c r="G297" s="134"/>
      <c r="H297" s="132"/>
      <c r="I297" s="132"/>
      <c r="J297" s="135"/>
      <c r="K297" s="130"/>
      <c r="L297" s="130"/>
      <c r="M297" s="130"/>
      <c r="N297" s="130"/>
      <c r="O297" s="130"/>
      <c r="P297" s="130"/>
      <c r="Q297" s="130"/>
      <c r="R297" s="130"/>
      <c r="S297" s="130"/>
      <c r="T297" s="130"/>
      <c r="U297" s="130"/>
      <c r="V297" s="130"/>
      <c r="W297" s="130"/>
      <c r="X297" s="130"/>
      <c r="Y297" s="130"/>
      <c r="Z297" s="130"/>
      <c r="AA297" s="130"/>
      <c r="AB297" s="130"/>
      <c r="AC297" s="130"/>
      <c r="AD297" s="130"/>
    </row>
    <row r="298" ht="15.75" customHeight="1">
      <c r="A298" s="130"/>
      <c r="B298" s="131"/>
      <c r="C298" s="132"/>
      <c r="D298" s="133"/>
      <c r="E298" s="134"/>
      <c r="F298" s="133"/>
      <c r="G298" s="134"/>
      <c r="H298" s="132"/>
      <c r="I298" s="132"/>
      <c r="J298" s="135"/>
      <c r="K298" s="130"/>
      <c r="L298" s="130"/>
      <c r="M298" s="130"/>
      <c r="N298" s="130"/>
      <c r="O298" s="130"/>
      <c r="P298" s="130"/>
      <c r="Q298" s="130"/>
      <c r="R298" s="130"/>
      <c r="S298" s="130"/>
      <c r="T298" s="130"/>
      <c r="U298" s="130"/>
      <c r="V298" s="130"/>
      <c r="W298" s="130"/>
      <c r="X298" s="130"/>
      <c r="Y298" s="130"/>
      <c r="Z298" s="130"/>
      <c r="AA298" s="130"/>
      <c r="AB298" s="130"/>
      <c r="AC298" s="130"/>
      <c r="AD298" s="130"/>
    </row>
    <row r="299" ht="15.75" customHeight="1">
      <c r="C299" s="136"/>
      <c r="E299" s="136"/>
      <c r="G299" s="136"/>
      <c r="H299" s="136"/>
      <c r="I299" s="136"/>
      <c r="J299" s="137"/>
    </row>
    <row r="300" ht="15.75" customHeight="1">
      <c r="C300" s="136"/>
      <c r="E300" s="136"/>
      <c r="G300" s="136"/>
      <c r="H300" s="136"/>
      <c r="I300" s="136"/>
      <c r="J300" s="137"/>
    </row>
    <row r="301" ht="15.75" customHeight="1">
      <c r="C301" s="136"/>
      <c r="E301" s="136"/>
      <c r="G301" s="136"/>
      <c r="H301" s="136"/>
      <c r="I301" s="136"/>
      <c r="J301" s="137"/>
    </row>
    <row r="302" ht="15.75" customHeight="1">
      <c r="C302" s="136"/>
      <c r="E302" s="136"/>
      <c r="G302" s="136"/>
      <c r="H302" s="136"/>
      <c r="I302" s="136"/>
      <c r="J302" s="137"/>
    </row>
    <row r="303" ht="15.75" customHeight="1">
      <c r="C303" s="136"/>
      <c r="E303" s="136"/>
      <c r="G303" s="136"/>
      <c r="H303" s="136"/>
      <c r="I303" s="136"/>
      <c r="J303" s="137"/>
    </row>
    <row r="304" ht="15.75" customHeight="1">
      <c r="C304" s="136"/>
      <c r="E304" s="136"/>
      <c r="G304" s="136"/>
      <c r="H304" s="136"/>
      <c r="I304" s="136"/>
      <c r="J304" s="137"/>
    </row>
    <row r="305" ht="15.75" customHeight="1">
      <c r="C305" s="136"/>
      <c r="E305" s="136"/>
      <c r="G305" s="136"/>
      <c r="H305" s="136"/>
      <c r="I305" s="136"/>
      <c r="J305" s="137"/>
    </row>
    <row r="306" ht="15.75" customHeight="1">
      <c r="C306" s="136"/>
      <c r="E306" s="136"/>
      <c r="G306" s="136"/>
      <c r="H306" s="136"/>
      <c r="I306" s="136"/>
      <c r="J306" s="137"/>
    </row>
    <row r="307" ht="15.75" customHeight="1">
      <c r="C307" s="136"/>
      <c r="E307" s="136"/>
      <c r="G307" s="136"/>
      <c r="H307" s="136"/>
      <c r="I307" s="136"/>
      <c r="J307" s="137"/>
    </row>
    <row r="308" ht="15.75" customHeight="1">
      <c r="C308" s="136"/>
      <c r="E308" s="136"/>
      <c r="G308" s="136"/>
      <c r="H308" s="136"/>
      <c r="I308" s="136"/>
      <c r="J308" s="137"/>
    </row>
    <row r="309" ht="15.75" customHeight="1">
      <c r="C309" s="136"/>
      <c r="E309" s="136"/>
      <c r="G309" s="136"/>
      <c r="H309" s="136"/>
      <c r="I309" s="136"/>
      <c r="J309" s="137"/>
    </row>
    <row r="310" ht="15.75" customHeight="1">
      <c r="C310" s="136"/>
      <c r="E310" s="136"/>
      <c r="G310" s="136"/>
      <c r="H310" s="136"/>
      <c r="I310" s="136"/>
      <c r="J310" s="137"/>
    </row>
    <row r="311" ht="15.75" customHeight="1">
      <c r="C311" s="136"/>
      <c r="E311" s="136"/>
      <c r="G311" s="136"/>
      <c r="H311" s="136"/>
      <c r="I311" s="136"/>
      <c r="J311" s="137"/>
    </row>
    <row r="312" ht="15.75" customHeight="1">
      <c r="C312" s="136"/>
      <c r="E312" s="136"/>
      <c r="G312" s="136"/>
      <c r="H312" s="136"/>
      <c r="I312" s="136"/>
      <c r="J312" s="137"/>
    </row>
    <row r="313" ht="15.75" customHeight="1">
      <c r="C313" s="136"/>
      <c r="E313" s="136"/>
      <c r="G313" s="136"/>
      <c r="H313" s="136"/>
      <c r="I313" s="136"/>
      <c r="J313" s="137"/>
    </row>
    <row r="314" ht="15.75" customHeight="1">
      <c r="C314" s="136"/>
      <c r="E314" s="136"/>
      <c r="G314" s="136"/>
      <c r="H314" s="136"/>
      <c r="I314" s="136"/>
      <c r="J314" s="137"/>
    </row>
    <row r="315" ht="15.75" customHeight="1">
      <c r="C315" s="136"/>
      <c r="E315" s="136"/>
      <c r="G315" s="136"/>
      <c r="H315" s="136"/>
      <c r="I315" s="136"/>
      <c r="J315" s="137"/>
    </row>
    <row r="316" ht="15.75" customHeight="1">
      <c r="C316" s="136"/>
      <c r="E316" s="136"/>
      <c r="G316" s="136"/>
      <c r="H316" s="136"/>
      <c r="I316" s="136"/>
      <c r="J316" s="137"/>
    </row>
    <row r="317" ht="15.75" customHeight="1">
      <c r="C317" s="136"/>
      <c r="E317" s="136"/>
      <c r="G317" s="136"/>
      <c r="H317" s="136"/>
      <c r="I317" s="136"/>
      <c r="J317" s="137"/>
    </row>
    <row r="318" ht="15.75" customHeight="1">
      <c r="C318" s="136"/>
      <c r="E318" s="136"/>
      <c r="G318" s="136"/>
      <c r="H318" s="136"/>
      <c r="I318" s="136"/>
      <c r="J318" s="137"/>
    </row>
    <row r="319" ht="15.75" customHeight="1">
      <c r="C319" s="136"/>
      <c r="E319" s="136"/>
      <c r="G319" s="136"/>
      <c r="H319" s="136"/>
      <c r="I319" s="136"/>
      <c r="J319" s="137"/>
    </row>
    <row r="320" ht="15.75" customHeight="1">
      <c r="C320" s="136"/>
      <c r="E320" s="136"/>
      <c r="G320" s="136"/>
      <c r="H320" s="136"/>
      <c r="I320" s="136"/>
      <c r="J320" s="137"/>
    </row>
    <row r="321" ht="15.75" customHeight="1">
      <c r="C321" s="136"/>
      <c r="E321" s="136"/>
      <c r="G321" s="136"/>
      <c r="H321" s="136"/>
      <c r="I321" s="136"/>
      <c r="J321" s="137"/>
    </row>
    <row r="322" ht="15.75" customHeight="1">
      <c r="C322" s="136"/>
      <c r="E322" s="136"/>
      <c r="G322" s="136"/>
      <c r="H322" s="136"/>
      <c r="I322" s="136"/>
      <c r="J322" s="137"/>
    </row>
    <row r="323" ht="15.75" customHeight="1">
      <c r="C323" s="136"/>
      <c r="E323" s="136"/>
      <c r="G323" s="136"/>
      <c r="H323" s="136"/>
      <c r="I323" s="136"/>
      <c r="J323" s="137"/>
    </row>
    <row r="324" ht="15.75" customHeight="1">
      <c r="C324" s="136"/>
      <c r="E324" s="136"/>
      <c r="G324" s="136"/>
      <c r="H324" s="136"/>
      <c r="I324" s="136"/>
      <c r="J324" s="137"/>
    </row>
    <row r="325" ht="15.75" customHeight="1">
      <c r="C325" s="136"/>
      <c r="E325" s="136"/>
      <c r="G325" s="136"/>
      <c r="H325" s="136"/>
      <c r="I325" s="136"/>
      <c r="J325" s="137"/>
    </row>
    <row r="326" ht="15.75" customHeight="1">
      <c r="C326" s="136"/>
      <c r="E326" s="136"/>
      <c r="G326" s="136"/>
      <c r="H326" s="136"/>
      <c r="I326" s="136"/>
      <c r="J326" s="137"/>
    </row>
    <row r="327" ht="15.75" customHeight="1">
      <c r="C327" s="136"/>
      <c r="E327" s="136"/>
      <c r="G327" s="136"/>
      <c r="H327" s="136"/>
      <c r="I327" s="136"/>
      <c r="J327" s="137"/>
    </row>
    <row r="328" ht="15.75" customHeight="1">
      <c r="C328" s="136"/>
      <c r="E328" s="136"/>
      <c r="G328" s="136"/>
      <c r="H328" s="136"/>
      <c r="I328" s="136"/>
      <c r="J328" s="137"/>
    </row>
    <row r="329" ht="15.75" customHeight="1">
      <c r="C329" s="136"/>
      <c r="E329" s="136"/>
      <c r="G329" s="136"/>
      <c r="H329" s="136"/>
      <c r="I329" s="136"/>
      <c r="J329" s="137"/>
    </row>
    <row r="330" ht="15.75" customHeight="1">
      <c r="C330" s="136"/>
      <c r="E330" s="136"/>
      <c r="G330" s="136"/>
      <c r="H330" s="136"/>
      <c r="I330" s="136"/>
      <c r="J330" s="137"/>
    </row>
    <row r="331" ht="15.75" customHeight="1">
      <c r="C331" s="136"/>
      <c r="E331" s="136"/>
      <c r="G331" s="136"/>
      <c r="H331" s="136"/>
      <c r="I331" s="136"/>
      <c r="J331" s="137"/>
    </row>
    <row r="332" ht="15.75" customHeight="1">
      <c r="C332" s="136"/>
      <c r="E332" s="136"/>
      <c r="G332" s="136"/>
      <c r="H332" s="136"/>
      <c r="I332" s="136"/>
      <c r="J332" s="137"/>
    </row>
    <row r="333" ht="15.75" customHeight="1">
      <c r="C333" s="136"/>
      <c r="E333" s="136"/>
      <c r="G333" s="136"/>
      <c r="H333" s="136"/>
      <c r="I333" s="136"/>
      <c r="J333" s="137"/>
    </row>
    <row r="334" ht="15.75" customHeight="1">
      <c r="C334" s="136"/>
      <c r="E334" s="136"/>
      <c r="G334" s="136"/>
      <c r="H334" s="136"/>
      <c r="I334" s="136"/>
      <c r="J334" s="137"/>
    </row>
    <row r="335" ht="15.75" customHeight="1">
      <c r="C335" s="136"/>
      <c r="E335" s="136"/>
      <c r="G335" s="136"/>
      <c r="H335" s="136"/>
      <c r="I335" s="136"/>
      <c r="J335" s="137"/>
    </row>
    <row r="336" ht="15.75" customHeight="1">
      <c r="C336" s="136"/>
      <c r="E336" s="136"/>
      <c r="G336" s="136"/>
      <c r="H336" s="136"/>
      <c r="I336" s="136"/>
      <c r="J336" s="137"/>
    </row>
    <row r="337" ht="15.75" customHeight="1">
      <c r="C337" s="136"/>
      <c r="E337" s="136"/>
      <c r="G337" s="136"/>
      <c r="H337" s="136"/>
      <c r="I337" s="136"/>
      <c r="J337" s="137"/>
    </row>
    <row r="338" ht="15.75" customHeight="1">
      <c r="C338" s="136"/>
      <c r="E338" s="136"/>
      <c r="G338" s="136"/>
      <c r="H338" s="136"/>
      <c r="I338" s="136"/>
      <c r="J338" s="137"/>
    </row>
    <row r="339" ht="15.75" customHeight="1">
      <c r="C339" s="136"/>
      <c r="E339" s="136"/>
      <c r="G339" s="136"/>
      <c r="H339" s="136"/>
      <c r="I339" s="136"/>
      <c r="J339" s="137"/>
    </row>
    <row r="340" ht="15.75" customHeight="1">
      <c r="C340" s="136"/>
      <c r="E340" s="136"/>
      <c r="G340" s="136"/>
      <c r="H340" s="136"/>
      <c r="I340" s="136"/>
      <c r="J340" s="137"/>
    </row>
    <row r="341" ht="15.75" customHeight="1">
      <c r="C341" s="136"/>
      <c r="E341" s="136"/>
      <c r="G341" s="136"/>
      <c r="H341" s="136"/>
      <c r="I341" s="136"/>
      <c r="J341" s="137"/>
    </row>
    <row r="342" ht="15.75" customHeight="1">
      <c r="C342" s="136"/>
      <c r="E342" s="136"/>
      <c r="G342" s="136"/>
      <c r="H342" s="136"/>
      <c r="I342" s="136"/>
      <c r="J342" s="137"/>
    </row>
    <row r="343" ht="15.75" customHeight="1">
      <c r="C343" s="136"/>
      <c r="E343" s="136"/>
      <c r="G343" s="136"/>
      <c r="H343" s="136"/>
      <c r="I343" s="136"/>
      <c r="J343" s="137"/>
    </row>
    <row r="344" ht="15.75" customHeight="1">
      <c r="C344" s="136"/>
      <c r="E344" s="136"/>
      <c r="G344" s="136"/>
      <c r="H344" s="136"/>
      <c r="I344" s="136"/>
      <c r="J344" s="137"/>
    </row>
    <row r="345" ht="15.75" customHeight="1">
      <c r="C345" s="136"/>
      <c r="E345" s="136"/>
      <c r="G345" s="136"/>
      <c r="H345" s="136"/>
      <c r="I345" s="136"/>
      <c r="J345" s="137"/>
    </row>
    <row r="346" ht="15.75" customHeight="1">
      <c r="C346" s="136"/>
      <c r="E346" s="136"/>
      <c r="G346" s="136"/>
      <c r="H346" s="136"/>
      <c r="I346" s="136"/>
      <c r="J346" s="137"/>
    </row>
    <row r="347" ht="15.75" customHeight="1">
      <c r="C347" s="136"/>
      <c r="E347" s="136"/>
      <c r="G347" s="136"/>
      <c r="H347" s="136"/>
      <c r="I347" s="136"/>
      <c r="J347" s="137"/>
    </row>
    <row r="348" ht="15.75" customHeight="1">
      <c r="C348" s="136"/>
      <c r="E348" s="136"/>
      <c r="G348" s="136"/>
      <c r="H348" s="136"/>
      <c r="I348" s="136"/>
      <c r="J348" s="137"/>
    </row>
    <row r="349" ht="15.75" customHeight="1">
      <c r="C349" s="136"/>
      <c r="E349" s="136"/>
      <c r="G349" s="136"/>
      <c r="H349" s="136"/>
      <c r="I349" s="136"/>
      <c r="J349" s="137"/>
    </row>
    <row r="350" ht="15.75" customHeight="1">
      <c r="C350" s="136"/>
      <c r="E350" s="136"/>
      <c r="G350" s="136"/>
      <c r="H350" s="136"/>
      <c r="I350" s="136"/>
      <c r="J350" s="137"/>
    </row>
    <row r="351" ht="15.75" customHeight="1">
      <c r="C351" s="136"/>
      <c r="E351" s="136"/>
      <c r="G351" s="136"/>
      <c r="H351" s="136"/>
      <c r="I351" s="136"/>
      <c r="J351" s="137"/>
    </row>
    <row r="352" ht="15.75" customHeight="1">
      <c r="C352" s="136"/>
      <c r="E352" s="136"/>
      <c r="G352" s="136"/>
      <c r="H352" s="136"/>
      <c r="I352" s="136"/>
      <c r="J352" s="137"/>
    </row>
    <row r="353" ht="15.75" customHeight="1">
      <c r="C353" s="136"/>
      <c r="E353" s="136"/>
      <c r="G353" s="136"/>
      <c r="H353" s="136"/>
      <c r="I353" s="136"/>
      <c r="J353" s="137"/>
    </row>
    <row r="354" ht="15.75" customHeight="1">
      <c r="C354" s="136"/>
      <c r="E354" s="136"/>
      <c r="G354" s="136"/>
      <c r="H354" s="136"/>
      <c r="I354" s="136"/>
      <c r="J354" s="137"/>
    </row>
    <row r="355" ht="15.75" customHeight="1">
      <c r="C355" s="136"/>
      <c r="E355" s="136"/>
      <c r="G355" s="136"/>
      <c r="H355" s="136"/>
      <c r="I355" s="136"/>
      <c r="J355" s="137"/>
    </row>
    <row r="356" ht="15.75" customHeight="1">
      <c r="C356" s="136"/>
      <c r="E356" s="136"/>
      <c r="G356" s="136"/>
      <c r="H356" s="136"/>
      <c r="I356" s="136"/>
      <c r="J356" s="137"/>
    </row>
    <row r="357" ht="15.75" customHeight="1">
      <c r="C357" s="136"/>
      <c r="E357" s="136"/>
      <c r="G357" s="136"/>
      <c r="H357" s="136"/>
      <c r="I357" s="136"/>
      <c r="J357" s="137"/>
    </row>
    <row r="358" ht="15.75" customHeight="1">
      <c r="C358" s="136"/>
      <c r="E358" s="136"/>
      <c r="G358" s="136"/>
      <c r="H358" s="136"/>
      <c r="I358" s="136"/>
      <c r="J358" s="137"/>
    </row>
    <row r="359" ht="15.75" customHeight="1">
      <c r="C359" s="136"/>
      <c r="E359" s="136"/>
      <c r="G359" s="136"/>
      <c r="H359" s="136"/>
      <c r="I359" s="136"/>
      <c r="J359" s="137"/>
    </row>
    <row r="360" ht="15.75" customHeight="1">
      <c r="C360" s="136"/>
      <c r="E360" s="136"/>
      <c r="G360" s="136"/>
      <c r="H360" s="136"/>
      <c r="I360" s="136"/>
      <c r="J360" s="137"/>
    </row>
    <row r="361" ht="15.75" customHeight="1">
      <c r="C361" s="136"/>
      <c r="E361" s="136"/>
      <c r="G361" s="136"/>
      <c r="H361" s="136"/>
      <c r="I361" s="136"/>
      <c r="J361" s="137"/>
    </row>
    <row r="362" ht="15.75" customHeight="1">
      <c r="C362" s="136"/>
      <c r="E362" s="136"/>
      <c r="G362" s="136"/>
      <c r="H362" s="136"/>
      <c r="I362" s="136"/>
      <c r="J362" s="137"/>
    </row>
    <row r="363" ht="15.75" customHeight="1">
      <c r="C363" s="136"/>
      <c r="E363" s="136"/>
      <c r="G363" s="136"/>
      <c r="H363" s="136"/>
      <c r="I363" s="136"/>
      <c r="J363" s="137"/>
    </row>
    <row r="364" ht="15.75" customHeight="1">
      <c r="C364" s="136"/>
      <c r="E364" s="136"/>
      <c r="G364" s="136"/>
      <c r="H364" s="136"/>
      <c r="I364" s="136"/>
      <c r="J364" s="137"/>
    </row>
    <row r="365" ht="15.75" customHeight="1">
      <c r="C365" s="136"/>
      <c r="E365" s="136"/>
      <c r="G365" s="136"/>
      <c r="H365" s="136"/>
      <c r="I365" s="136"/>
      <c r="J365" s="137"/>
    </row>
    <row r="366" ht="15.75" customHeight="1">
      <c r="C366" s="136"/>
      <c r="E366" s="136"/>
      <c r="G366" s="136"/>
      <c r="H366" s="136"/>
      <c r="I366" s="136"/>
      <c r="J366" s="137"/>
    </row>
    <row r="367" ht="15.75" customHeight="1">
      <c r="C367" s="136"/>
      <c r="E367" s="136"/>
      <c r="G367" s="136"/>
      <c r="H367" s="136"/>
      <c r="I367" s="136"/>
      <c r="J367" s="137"/>
    </row>
    <row r="368" ht="15.75" customHeight="1">
      <c r="C368" s="136"/>
      <c r="E368" s="136"/>
      <c r="G368" s="136"/>
      <c r="H368" s="136"/>
      <c r="I368" s="136"/>
      <c r="J368" s="137"/>
    </row>
    <row r="369" ht="15.75" customHeight="1">
      <c r="C369" s="136"/>
      <c r="E369" s="136"/>
      <c r="G369" s="136"/>
      <c r="H369" s="136"/>
      <c r="I369" s="136"/>
      <c r="J369" s="137"/>
    </row>
    <row r="370" ht="15.75" customHeight="1">
      <c r="C370" s="136"/>
      <c r="E370" s="136"/>
      <c r="G370" s="136"/>
      <c r="H370" s="136"/>
      <c r="I370" s="136"/>
      <c r="J370" s="137"/>
    </row>
    <row r="371" ht="15.75" customHeight="1">
      <c r="C371" s="136"/>
      <c r="E371" s="136"/>
      <c r="G371" s="136"/>
      <c r="H371" s="136"/>
      <c r="I371" s="136"/>
      <c r="J371" s="137"/>
    </row>
    <row r="372" ht="15.75" customHeight="1">
      <c r="C372" s="136"/>
      <c r="E372" s="136"/>
      <c r="G372" s="136"/>
      <c r="H372" s="136"/>
      <c r="I372" s="136"/>
      <c r="J372" s="137"/>
    </row>
    <row r="373" ht="15.75" customHeight="1">
      <c r="C373" s="136"/>
      <c r="E373" s="136"/>
      <c r="G373" s="136"/>
      <c r="H373" s="136"/>
      <c r="I373" s="136"/>
      <c r="J373" s="137"/>
    </row>
    <row r="374" ht="15.75" customHeight="1">
      <c r="C374" s="136"/>
      <c r="E374" s="136"/>
      <c r="G374" s="136"/>
      <c r="H374" s="136"/>
      <c r="I374" s="136"/>
      <c r="J374" s="137"/>
    </row>
    <row r="375" ht="15.75" customHeight="1">
      <c r="C375" s="136"/>
      <c r="E375" s="136"/>
      <c r="G375" s="136"/>
      <c r="H375" s="136"/>
      <c r="I375" s="136"/>
      <c r="J375" s="137"/>
    </row>
    <row r="376" ht="15.75" customHeight="1">
      <c r="C376" s="136"/>
      <c r="E376" s="136"/>
      <c r="G376" s="136"/>
      <c r="H376" s="136"/>
      <c r="I376" s="136"/>
      <c r="J376" s="137"/>
    </row>
    <row r="377" ht="15.75" customHeight="1">
      <c r="C377" s="136"/>
      <c r="E377" s="136"/>
      <c r="G377" s="136"/>
      <c r="H377" s="136"/>
      <c r="I377" s="136"/>
      <c r="J377" s="137"/>
    </row>
    <row r="378" ht="15.75" customHeight="1">
      <c r="C378" s="136"/>
      <c r="E378" s="136"/>
      <c r="G378" s="136"/>
      <c r="H378" s="136"/>
      <c r="I378" s="136"/>
      <c r="J378" s="137"/>
    </row>
    <row r="379" ht="15.75" customHeight="1">
      <c r="C379" s="136"/>
      <c r="E379" s="136"/>
      <c r="G379" s="136"/>
      <c r="H379" s="136"/>
      <c r="I379" s="136"/>
      <c r="J379" s="137"/>
    </row>
    <row r="380" ht="15.75" customHeight="1">
      <c r="C380" s="136"/>
      <c r="E380" s="136"/>
      <c r="G380" s="136"/>
      <c r="H380" s="136"/>
      <c r="I380" s="136"/>
      <c r="J380" s="137"/>
    </row>
    <row r="381" ht="15.75" customHeight="1">
      <c r="C381" s="136"/>
      <c r="E381" s="136"/>
      <c r="G381" s="136"/>
      <c r="H381" s="136"/>
      <c r="I381" s="136"/>
      <c r="J381" s="137"/>
    </row>
    <row r="382" ht="15.75" customHeight="1">
      <c r="C382" s="136"/>
      <c r="E382" s="136"/>
      <c r="G382" s="136"/>
      <c r="H382" s="136"/>
      <c r="I382" s="136"/>
      <c r="J382" s="137"/>
    </row>
    <row r="383" ht="15.75" customHeight="1">
      <c r="C383" s="136"/>
      <c r="E383" s="136"/>
      <c r="G383" s="136"/>
      <c r="H383" s="136"/>
      <c r="I383" s="136"/>
      <c r="J383" s="137"/>
    </row>
    <row r="384" ht="15.75" customHeight="1">
      <c r="C384" s="136"/>
      <c r="E384" s="136"/>
      <c r="G384" s="136"/>
      <c r="H384" s="136"/>
      <c r="I384" s="136"/>
      <c r="J384" s="137"/>
    </row>
    <row r="385" ht="15.75" customHeight="1">
      <c r="C385" s="136"/>
      <c r="E385" s="136"/>
      <c r="G385" s="136"/>
      <c r="H385" s="136"/>
      <c r="I385" s="136"/>
      <c r="J385" s="137"/>
    </row>
    <row r="386" ht="15.75" customHeight="1">
      <c r="C386" s="136"/>
      <c r="E386" s="136"/>
      <c r="G386" s="136"/>
      <c r="H386" s="136"/>
      <c r="I386" s="136"/>
      <c r="J386" s="137"/>
    </row>
    <row r="387" ht="15.75" customHeight="1">
      <c r="C387" s="136"/>
      <c r="E387" s="136"/>
      <c r="G387" s="136"/>
      <c r="H387" s="136"/>
      <c r="I387" s="136"/>
      <c r="J387" s="137"/>
    </row>
    <row r="388" ht="15.75" customHeight="1">
      <c r="C388" s="136"/>
      <c r="E388" s="136"/>
      <c r="G388" s="136"/>
      <c r="H388" s="136"/>
      <c r="I388" s="136"/>
      <c r="J388" s="137"/>
    </row>
    <row r="389" ht="15.75" customHeight="1">
      <c r="C389" s="136"/>
      <c r="E389" s="136"/>
      <c r="G389" s="136"/>
      <c r="H389" s="136"/>
      <c r="I389" s="136"/>
      <c r="J389" s="137"/>
    </row>
    <row r="390" ht="15.75" customHeight="1">
      <c r="C390" s="136"/>
      <c r="E390" s="136"/>
      <c r="G390" s="136"/>
      <c r="H390" s="136"/>
      <c r="I390" s="136"/>
      <c r="J390" s="137"/>
    </row>
    <row r="391" ht="15.75" customHeight="1">
      <c r="C391" s="136"/>
      <c r="E391" s="136"/>
      <c r="G391" s="136"/>
      <c r="H391" s="136"/>
      <c r="I391" s="136"/>
      <c r="J391" s="137"/>
    </row>
    <row r="392" ht="15.75" customHeight="1">
      <c r="C392" s="136"/>
      <c r="E392" s="136"/>
      <c r="G392" s="136"/>
      <c r="H392" s="136"/>
      <c r="I392" s="136"/>
      <c r="J392" s="137"/>
    </row>
    <row r="393" ht="15.75" customHeight="1">
      <c r="C393" s="136"/>
      <c r="E393" s="136"/>
      <c r="G393" s="136"/>
      <c r="H393" s="136"/>
      <c r="I393" s="136"/>
      <c r="J393" s="137"/>
    </row>
    <row r="394" ht="15.75" customHeight="1">
      <c r="C394" s="136"/>
      <c r="E394" s="136"/>
      <c r="G394" s="136"/>
      <c r="H394" s="136"/>
      <c r="I394" s="136"/>
      <c r="J394" s="137"/>
    </row>
    <row r="395" ht="15.75" customHeight="1">
      <c r="C395" s="136"/>
      <c r="E395" s="136"/>
      <c r="G395" s="136"/>
      <c r="H395" s="136"/>
      <c r="I395" s="136"/>
      <c r="J395" s="137"/>
    </row>
    <row r="396" ht="15.75" customHeight="1">
      <c r="C396" s="136"/>
      <c r="E396" s="136"/>
      <c r="G396" s="136"/>
      <c r="H396" s="136"/>
      <c r="I396" s="136"/>
      <c r="J396" s="137"/>
    </row>
    <row r="397" ht="15.75" customHeight="1">
      <c r="C397" s="136"/>
      <c r="E397" s="136"/>
      <c r="G397" s="136"/>
      <c r="H397" s="136"/>
      <c r="I397" s="136"/>
      <c r="J397" s="137"/>
    </row>
    <row r="398" ht="15.75" customHeight="1">
      <c r="C398" s="136"/>
      <c r="E398" s="136"/>
      <c r="G398" s="136"/>
      <c r="H398" s="136"/>
      <c r="I398" s="136"/>
      <c r="J398" s="137"/>
    </row>
    <row r="399" ht="15.75" customHeight="1">
      <c r="C399" s="136"/>
      <c r="E399" s="136"/>
      <c r="G399" s="136"/>
      <c r="H399" s="136"/>
      <c r="I399" s="136"/>
      <c r="J399" s="137"/>
    </row>
    <row r="400" ht="15.75" customHeight="1">
      <c r="C400" s="136"/>
      <c r="E400" s="136"/>
      <c r="G400" s="136"/>
      <c r="H400" s="136"/>
      <c r="I400" s="136"/>
      <c r="J400" s="137"/>
    </row>
    <row r="401" ht="15.75" customHeight="1">
      <c r="C401" s="136"/>
      <c r="E401" s="136"/>
      <c r="G401" s="136"/>
      <c r="H401" s="136"/>
      <c r="I401" s="136"/>
      <c r="J401" s="137"/>
    </row>
    <row r="402" ht="15.75" customHeight="1">
      <c r="C402" s="136"/>
      <c r="E402" s="136"/>
      <c r="G402" s="136"/>
      <c r="H402" s="136"/>
      <c r="I402" s="136"/>
      <c r="J402" s="137"/>
    </row>
    <row r="403" ht="15.75" customHeight="1">
      <c r="C403" s="136"/>
      <c r="E403" s="136"/>
      <c r="G403" s="136"/>
      <c r="H403" s="136"/>
      <c r="I403" s="136"/>
      <c r="J403" s="137"/>
    </row>
    <row r="404" ht="15.75" customHeight="1">
      <c r="C404" s="136"/>
      <c r="E404" s="136"/>
      <c r="G404" s="136"/>
      <c r="H404" s="136"/>
      <c r="I404" s="136"/>
      <c r="J404" s="137"/>
    </row>
    <row r="405" ht="15.75" customHeight="1">
      <c r="C405" s="136"/>
      <c r="E405" s="136"/>
      <c r="G405" s="136"/>
      <c r="H405" s="136"/>
      <c r="I405" s="136"/>
      <c r="J405" s="137"/>
    </row>
    <row r="406" ht="15.75" customHeight="1">
      <c r="C406" s="136"/>
      <c r="E406" s="136"/>
      <c r="G406" s="136"/>
      <c r="H406" s="136"/>
      <c r="I406" s="136"/>
      <c r="J406" s="137"/>
    </row>
    <row r="407" ht="15.75" customHeight="1">
      <c r="C407" s="136"/>
      <c r="E407" s="136"/>
      <c r="G407" s="136"/>
      <c r="H407" s="136"/>
      <c r="I407" s="136"/>
      <c r="J407" s="137"/>
    </row>
    <row r="408" ht="15.75" customHeight="1">
      <c r="C408" s="136"/>
      <c r="E408" s="136"/>
      <c r="G408" s="136"/>
      <c r="H408" s="136"/>
      <c r="I408" s="136"/>
      <c r="J408" s="137"/>
    </row>
    <row r="409" ht="15.75" customHeight="1">
      <c r="C409" s="136"/>
      <c r="E409" s="136"/>
      <c r="G409" s="136"/>
      <c r="H409" s="136"/>
      <c r="I409" s="136"/>
      <c r="J409" s="137"/>
    </row>
    <row r="410" ht="15.75" customHeight="1">
      <c r="C410" s="136"/>
      <c r="E410" s="136"/>
      <c r="G410" s="136"/>
      <c r="H410" s="136"/>
      <c r="I410" s="136"/>
      <c r="J410" s="137"/>
    </row>
    <row r="411" ht="15.75" customHeight="1">
      <c r="C411" s="136"/>
      <c r="E411" s="136"/>
      <c r="G411" s="136"/>
      <c r="H411" s="136"/>
      <c r="I411" s="136"/>
      <c r="J411" s="137"/>
    </row>
    <row r="412" ht="15.75" customHeight="1">
      <c r="C412" s="136"/>
      <c r="E412" s="136"/>
      <c r="G412" s="136"/>
      <c r="H412" s="136"/>
      <c r="I412" s="136"/>
      <c r="J412" s="137"/>
    </row>
    <row r="413" ht="15.75" customHeight="1">
      <c r="C413" s="136"/>
      <c r="E413" s="136"/>
      <c r="G413" s="136"/>
      <c r="H413" s="136"/>
      <c r="I413" s="136"/>
      <c r="J413" s="137"/>
    </row>
    <row r="414" ht="15.75" customHeight="1">
      <c r="C414" s="136"/>
      <c r="E414" s="136"/>
      <c r="G414" s="136"/>
      <c r="H414" s="136"/>
      <c r="I414" s="136"/>
      <c r="J414" s="137"/>
    </row>
    <row r="415" ht="15.75" customHeight="1">
      <c r="C415" s="136"/>
      <c r="E415" s="136"/>
      <c r="G415" s="136"/>
      <c r="H415" s="136"/>
      <c r="I415" s="136"/>
      <c r="J415" s="137"/>
    </row>
    <row r="416" ht="15.75" customHeight="1">
      <c r="C416" s="136"/>
      <c r="E416" s="136"/>
      <c r="G416" s="136"/>
      <c r="H416" s="136"/>
      <c r="I416" s="136"/>
      <c r="J416" s="137"/>
    </row>
    <row r="417" ht="15.75" customHeight="1">
      <c r="C417" s="136"/>
      <c r="E417" s="136"/>
      <c r="G417" s="136"/>
      <c r="H417" s="136"/>
      <c r="I417" s="136"/>
      <c r="J417" s="137"/>
    </row>
    <row r="418" ht="15.75" customHeight="1">
      <c r="C418" s="136"/>
      <c r="E418" s="136"/>
      <c r="G418" s="136"/>
      <c r="H418" s="136"/>
      <c r="I418" s="136"/>
      <c r="J418" s="137"/>
    </row>
    <row r="419" ht="15.75" customHeight="1">
      <c r="C419" s="136"/>
      <c r="E419" s="136"/>
      <c r="G419" s="136"/>
      <c r="H419" s="136"/>
      <c r="I419" s="136"/>
      <c r="J419" s="137"/>
    </row>
    <row r="420" ht="15.75" customHeight="1">
      <c r="C420" s="136"/>
      <c r="E420" s="136"/>
      <c r="G420" s="136"/>
      <c r="H420" s="136"/>
      <c r="I420" s="136"/>
      <c r="J420" s="137"/>
    </row>
    <row r="421" ht="15.75" customHeight="1">
      <c r="C421" s="136"/>
      <c r="E421" s="136"/>
      <c r="G421" s="136"/>
      <c r="H421" s="136"/>
      <c r="I421" s="136"/>
      <c r="J421" s="137"/>
    </row>
    <row r="422" ht="15.75" customHeight="1">
      <c r="C422" s="136"/>
      <c r="E422" s="136"/>
      <c r="G422" s="136"/>
      <c r="H422" s="136"/>
      <c r="I422" s="136"/>
      <c r="J422" s="137"/>
    </row>
    <row r="423" ht="15.75" customHeight="1">
      <c r="C423" s="136"/>
      <c r="E423" s="136"/>
      <c r="G423" s="136"/>
      <c r="H423" s="136"/>
      <c r="I423" s="136"/>
      <c r="J423" s="137"/>
    </row>
    <row r="424" ht="15.75" customHeight="1">
      <c r="C424" s="136"/>
      <c r="E424" s="136"/>
      <c r="G424" s="136"/>
      <c r="H424" s="136"/>
      <c r="I424" s="136"/>
      <c r="J424" s="137"/>
    </row>
    <row r="425" ht="15.75" customHeight="1">
      <c r="C425" s="136"/>
      <c r="E425" s="136"/>
      <c r="G425" s="136"/>
      <c r="H425" s="136"/>
      <c r="I425" s="136"/>
      <c r="J425" s="137"/>
    </row>
    <row r="426" ht="15.75" customHeight="1">
      <c r="C426" s="136"/>
      <c r="E426" s="136"/>
      <c r="G426" s="136"/>
      <c r="H426" s="136"/>
      <c r="I426" s="136"/>
      <c r="J426" s="137"/>
    </row>
    <row r="427" ht="15.75" customHeight="1">
      <c r="C427" s="136"/>
      <c r="E427" s="136"/>
      <c r="G427" s="136"/>
      <c r="H427" s="136"/>
      <c r="I427" s="136"/>
      <c r="J427" s="137"/>
    </row>
    <row r="428" ht="15.75" customHeight="1">
      <c r="C428" s="136"/>
      <c r="E428" s="136"/>
      <c r="G428" s="136"/>
      <c r="H428" s="136"/>
      <c r="I428" s="136"/>
      <c r="J428" s="137"/>
    </row>
    <row r="429" ht="15.75" customHeight="1">
      <c r="C429" s="136"/>
      <c r="E429" s="136"/>
      <c r="G429" s="136"/>
      <c r="H429" s="136"/>
      <c r="I429" s="136"/>
      <c r="J429" s="137"/>
    </row>
    <row r="430" ht="15.75" customHeight="1">
      <c r="C430" s="136"/>
      <c r="E430" s="136"/>
      <c r="G430" s="136"/>
      <c r="H430" s="136"/>
      <c r="I430" s="136"/>
      <c r="J430" s="137"/>
    </row>
    <row r="431" ht="15.75" customHeight="1">
      <c r="C431" s="136"/>
      <c r="E431" s="136"/>
      <c r="G431" s="136"/>
      <c r="H431" s="136"/>
      <c r="I431" s="136"/>
      <c r="J431" s="137"/>
    </row>
    <row r="432" ht="15.75" customHeight="1">
      <c r="C432" s="136"/>
      <c r="E432" s="136"/>
      <c r="G432" s="136"/>
      <c r="H432" s="136"/>
      <c r="I432" s="136"/>
      <c r="J432" s="137"/>
    </row>
    <row r="433" ht="15.75" customHeight="1">
      <c r="C433" s="136"/>
      <c r="E433" s="136"/>
      <c r="G433" s="136"/>
      <c r="H433" s="136"/>
      <c r="I433" s="136"/>
      <c r="J433" s="137"/>
    </row>
    <row r="434" ht="15.75" customHeight="1">
      <c r="C434" s="136"/>
      <c r="E434" s="136"/>
      <c r="G434" s="136"/>
      <c r="H434" s="136"/>
      <c r="I434" s="136"/>
      <c r="J434" s="137"/>
    </row>
    <row r="435" ht="15.75" customHeight="1">
      <c r="C435" s="136"/>
      <c r="E435" s="136"/>
      <c r="G435" s="136"/>
      <c r="H435" s="136"/>
      <c r="I435" s="136"/>
      <c r="J435" s="137"/>
    </row>
    <row r="436" ht="15.75" customHeight="1">
      <c r="C436" s="136"/>
      <c r="E436" s="136"/>
      <c r="G436" s="136"/>
      <c r="H436" s="136"/>
      <c r="I436" s="136"/>
      <c r="J436" s="137"/>
    </row>
    <row r="437" ht="15.75" customHeight="1">
      <c r="C437" s="136"/>
      <c r="E437" s="136"/>
      <c r="G437" s="136"/>
      <c r="H437" s="136"/>
      <c r="I437" s="136"/>
      <c r="J437" s="137"/>
    </row>
    <row r="438" ht="15.75" customHeight="1">
      <c r="C438" s="136"/>
      <c r="E438" s="136"/>
      <c r="G438" s="136"/>
      <c r="H438" s="136"/>
      <c r="I438" s="136"/>
      <c r="J438" s="137"/>
    </row>
    <row r="439" ht="15.75" customHeight="1">
      <c r="C439" s="136"/>
      <c r="E439" s="136"/>
      <c r="G439" s="136"/>
      <c r="H439" s="136"/>
      <c r="I439" s="136"/>
      <c r="J439" s="137"/>
    </row>
    <row r="440" ht="15.75" customHeight="1">
      <c r="C440" s="136"/>
      <c r="E440" s="136"/>
      <c r="G440" s="136"/>
      <c r="H440" s="136"/>
      <c r="I440" s="136"/>
      <c r="J440" s="137"/>
    </row>
    <row r="441" ht="15.75" customHeight="1">
      <c r="C441" s="136"/>
      <c r="E441" s="136"/>
      <c r="G441" s="136"/>
      <c r="H441" s="136"/>
      <c r="I441" s="136"/>
      <c r="J441" s="137"/>
    </row>
    <row r="442" ht="15.75" customHeight="1">
      <c r="C442" s="136"/>
      <c r="E442" s="136"/>
      <c r="G442" s="136"/>
      <c r="H442" s="136"/>
      <c r="I442" s="136"/>
      <c r="J442" s="137"/>
    </row>
    <row r="443" ht="15.75" customHeight="1">
      <c r="C443" s="136"/>
      <c r="E443" s="136"/>
      <c r="G443" s="136"/>
      <c r="H443" s="136"/>
      <c r="I443" s="136"/>
      <c r="J443" s="137"/>
    </row>
    <row r="444" ht="15.75" customHeight="1">
      <c r="C444" s="136"/>
      <c r="E444" s="136"/>
      <c r="G444" s="136"/>
      <c r="H444" s="136"/>
      <c r="I444" s="136"/>
      <c r="J444" s="137"/>
    </row>
    <row r="445" ht="15.75" customHeight="1">
      <c r="C445" s="136"/>
      <c r="E445" s="136"/>
      <c r="G445" s="136"/>
      <c r="H445" s="136"/>
      <c r="I445" s="136"/>
      <c r="J445" s="137"/>
    </row>
    <row r="446" ht="15.75" customHeight="1">
      <c r="C446" s="136"/>
      <c r="E446" s="136"/>
      <c r="G446" s="136"/>
      <c r="H446" s="136"/>
      <c r="I446" s="136"/>
      <c r="J446" s="137"/>
    </row>
    <row r="447" ht="15.75" customHeight="1">
      <c r="C447" s="136"/>
      <c r="E447" s="136"/>
      <c r="G447" s="136"/>
      <c r="H447" s="136"/>
      <c r="I447" s="136"/>
      <c r="J447" s="137"/>
    </row>
    <row r="448" ht="15.75" customHeight="1">
      <c r="C448" s="136"/>
      <c r="E448" s="136"/>
      <c r="G448" s="136"/>
      <c r="H448" s="136"/>
      <c r="I448" s="136"/>
      <c r="J448" s="137"/>
    </row>
    <row r="449" ht="15.75" customHeight="1">
      <c r="C449" s="136"/>
      <c r="E449" s="136"/>
      <c r="G449" s="136"/>
      <c r="H449" s="136"/>
      <c r="I449" s="136"/>
      <c r="J449" s="137"/>
    </row>
    <row r="450" ht="15.75" customHeight="1">
      <c r="C450" s="136"/>
      <c r="E450" s="136"/>
      <c r="G450" s="136"/>
      <c r="H450" s="136"/>
      <c r="I450" s="136"/>
      <c r="J450" s="137"/>
    </row>
    <row r="451" ht="15.75" customHeight="1">
      <c r="C451" s="136"/>
      <c r="E451" s="136"/>
      <c r="G451" s="136"/>
      <c r="H451" s="136"/>
      <c r="I451" s="136"/>
      <c r="J451" s="137"/>
    </row>
    <row r="452" ht="15.75" customHeight="1">
      <c r="C452" s="136"/>
      <c r="E452" s="136"/>
      <c r="G452" s="136"/>
      <c r="H452" s="136"/>
      <c r="I452" s="136"/>
      <c r="J452" s="137"/>
    </row>
    <row r="453" ht="15.75" customHeight="1">
      <c r="C453" s="136"/>
      <c r="E453" s="136"/>
      <c r="G453" s="136"/>
      <c r="H453" s="136"/>
      <c r="I453" s="136"/>
      <c r="J453" s="137"/>
    </row>
    <row r="454" ht="15.75" customHeight="1">
      <c r="C454" s="136"/>
      <c r="E454" s="136"/>
      <c r="G454" s="136"/>
      <c r="H454" s="136"/>
      <c r="I454" s="136"/>
      <c r="J454" s="137"/>
    </row>
    <row r="455" ht="15.75" customHeight="1">
      <c r="C455" s="136"/>
      <c r="E455" s="136"/>
      <c r="G455" s="136"/>
      <c r="H455" s="136"/>
      <c r="I455" s="136"/>
      <c r="J455" s="137"/>
    </row>
    <row r="456" ht="15.75" customHeight="1">
      <c r="C456" s="136"/>
      <c r="E456" s="136"/>
      <c r="G456" s="136"/>
      <c r="H456" s="136"/>
      <c r="I456" s="136"/>
      <c r="J456" s="137"/>
    </row>
    <row r="457" ht="15.75" customHeight="1">
      <c r="C457" s="136"/>
      <c r="E457" s="136"/>
      <c r="G457" s="136"/>
      <c r="H457" s="136"/>
      <c r="I457" s="136"/>
      <c r="J457" s="137"/>
    </row>
    <row r="458" ht="15.75" customHeight="1">
      <c r="C458" s="136"/>
      <c r="E458" s="136"/>
      <c r="G458" s="136"/>
      <c r="H458" s="136"/>
      <c r="I458" s="136"/>
      <c r="J458" s="137"/>
    </row>
    <row r="459" ht="15.75" customHeight="1">
      <c r="C459" s="136"/>
      <c r="E459" s="136"/>
      <c r="G459" s="136"/>
      <c r="H459" s="136"/>
      <c r="I459" s="136"/>
      <c r="J459" s="137"/>
    </row>
    <row r="460" ht="15.75" customHeight="1">
      <c r="C460" s="136"/>
      <c r="E460" s="136"/>
      <c r="G460" s="136"/>
      <c r="H460" s="136"/>
      <c r="I460" s="136"/>
      <c r="J460" s="137"/>
    </row>
    <row r="461" ht="15.75" customHeight="1">
      <c r="C461" s="136"/>
      <c r="E461" s="136"/>
      <c r="G461" s="136"/>
      <c r="H461" s="136"/>
      <c r="I461" s="136"/>
      <c r="J461" s="137"/>
    </row>
    <row r="462" ht="15.75" customHeight="1">
      <c r="C462" s="136"/>
      <c r="E462" s="136"/>
      <c r="G462" s="136"/>
      <c r="H462" s="136"/>
      <c r="I462" s="136"/>
      <c r="J462" s="137"/>
    </row>
    <row r="463" ht="15.75" customHeight="1">
      <c r="C463" s="136"/>
      <c r="E463" s="136"/>
      <c r="G463" s="136"/>
      <c r="H463" s="136"/>
      <c r="I463" s="136"/>
      <c r="J463" s="137"/>
    </row>
    <row r="464" ht="15.75" customHeight="1">
      <c r="C464" s="136"/>
      <c r="E464" s="136"/>
      <c r="G464" s="136"/>
      <c r="H464" s="136"/>
      <c r="I464" s="136"/>
      <c r="J464" s="137"/>
    </row>
    <row r="465" ht="15.75" customHeight="1">
      <c r="C465" s="136"/>
      <c r="E465" s="136"/>
      <c r="G465" s="136"/>
      <c r="H465" s="136"/>
      <c r="I465" s="136"/>
      <c r="J465" s="137"/>
    </row>
    <row r="466" ht="15.75" customHeight="1">
      <c r="C466" s="136"/>
      <c r="E466" s="136"/>
      <c r="G466" s="136"/>
      <c r="H466" s="136"/>
      <c r="I466" s="136"/>
      <c r="J466" s="137"/>
    </row>
    <row r="467" ht="15.75" customHeight="1">
      <c r="C467" s="136"/>
      <c r="E467" s="136"/>
      <c r="G467" s="136"/>
      <c r="H467" s="136"/>
      <c r="I467" s="136"/>
      <c r="J467" s="137"/>
    </row>
    <row r="468" ht="15.75" customHeight="1">
      <c r="C468" s="136"/>
      <c r="E468" s="136"/>
      <c r="G468" s="136"/>
      <c r="H468" s="136"/>
      <c r="I468" s="136"/>
      <c r="J468" s="137"/>
    </row>
    <row r="469" ht="15.75" customHeight="1">
      <c r="C469" s="136"/>
      <c r="E469" s="136"/>
      <c r="G469" s="136"/>
      <c r="H469" s="136"/>
      <c r="I469" s="136"/>
      <c r="J469" s="137"/>
    </row>
    <row r="470" ht="15.75" customHeight="1">
      <c r="C470" s="136"/>
      <c r="E470" s="136"/>
      <c r="G470" s="136"/>
      <c r="H470" s="136"/>
      <c r="I470" s="136"/>
      <c r="J470" s="137"/>
    </row>
    <row r="471" ht="15.75" customHeight="1">
      <c r="C471" s="136"/>
      <c r="E471" s="136"/>
      <c r="G471" s="136"/>
      <c r="H471" s="136"/>
      <c r="I471" s="136"/>
      <c r="J471" s="137"/>
    </row>
    <row r="472" ht="15.75" customHeight="1">
      <c r="C472" s="136"/>
      <c r="E472" s="136"/>
      <c r="G472" s="136"/>
      <c r="H472" s="136"/>
      <c r="I472" s="136"/>
      <c r="J472" s="137"/>
    </row>
    <row r="473" ht="15.75" customHeight="1">
      <c r="C473" s="136"/>
      <c r="E473" s="136"/>
      <c r="G473" s="136"/>
      <c r="H473" s="136"/>
      <c r="I473" s="136"/>
      <c r="J473" s="137"/>
    </row>
    <row r="474" ht="15.75" customHeight="1">
      <c r="C474" s="136"/>
      <c r="E474" s="136"/>
      <c r="G474" s="136"/>
      <c r="H474" s="136"/>
      <c r="I474" s="136"/>
      <c r="J474" s="137"/>
    </row>
    <row r="475" ht="15.75" customHeight="1">
      <c r="C475" s="136"/>
      <c r="E475" s="136"/>
      <c r="G475" s="136"/>
      <c r="H475" s="136"/>
      <c r="I475" s="136"/>
      <c r="J475" s="137"/>
    </row>
    <row r="476" ht="15.75" customHeight="1">
      <c r="C476" s="136"/>
      <c r="E476" s="136"/>
      <c r="G476" s="136"/>
      <c r="H476" s="136"/>
      <c r="I476" s="136"/>
      <c r="J476" s="137"/>
    </row>
    <row r="477" ht="15.75" customHeight="1">
      <c r="C477" s="136"/>
      <c r="E477" s="136"/>
      <c r="G477" s="136"/>
      <c r="H477" s="136"/>
      <c r="I477" s="136"/>
      <c r="J477" s="137"/>
    </row>
    <row r="478" ht="15.75" customHeight="1">
      <c r="C478" s="136"/>
      <c r="E478" s="136"/>
      <c r="G478" s="136"/>
      <c r="H478" s="136"/>
      <c r="I478" s="136"/>
      <c r="J478" s="137"/>
    </row>
    <row r="479" ht="15.75" customHeight="1">
      <c r="C479" s="136"/>
      <c r="E479" s="136"/>
      <c r="G479" s="136"/>
      <c r="H479" s="136"/>
      <c r="I479" s="136"/>
      <c r="J479" s="137"/>
    </row>
    <row r="480" ht="15.75" customHeight="1">
      <c r="C480" s="136"/>
      <c r="E480" s="136"/>
      <c r="G480" s="136"/>
      <c r="H480" s="136"/>
      <c r="I480" s="136"/>
      <c r="J480" s="137"/>
    </row>
    <row r="481" ht="15.75" customHeight="1">
      <c r="C481" s="136"/>
      <c r="E481" s="136"/>
      <c r="G481" s="136"/>
      <c r="H481" s="136"/>
      <c r="I481" s="136"/>
      <c r="J481" s="137"/>
    </row>
    <row r="482" ht="15.75" customHeight="1">
      <c r="C482" s="136"/>
      <c r="E482" s="136"/>
      <c r="G482" s="136"/>
      <c r="H482" s="136"/>
      <c r="I482" s="136"/>
      <c r="J482" s="137"/>
    </row>
    <row r="483" ht="15.75" customHeight="1">
      <c r="C483" s="136"/>
      <c r="E483" s="136"/>
      <c r="G483" s="136"/>
      <c r="H483" s="136"/>
      <c r="I483" s="136"/>
      <c r="J483" s="137"/>
    </row>
    <row r="484" ht="15.75" customHeight="1">
      <c r="C484" s="136"/>
      <c r="E484" s="136"/>
      <c r="G484" s="136"/>
      <c r="H484" s="136"/>
      <c r="I484" s="136"/>
      <c r="J484" s="137"/>
    </row>
    <row r="485" ht="15.75" customHeight="1">
      <c r="C485" s="136"/>
      <c r="E485" s="136"/>
      <c r="G485" s="136"/>
      <c r="H485" s="136"/>
      <c r="I485" s="136"/>
      <c r="J485" s="137"/>
    </row>
    <row r="486" ht="15.75" customHeight="1">
      <c r="C486" s="136"/>
      <c r="E486" s="136"/>
      <c r="G486" s="136"/>
      <c r="H486" s="136"/>
      <c r="I486" s="136"/>
      <c r="J486" s="137"/>
    </row>
    <row r="487" ht="15.75" customHeight="1">
      <c r="C487" s="136"/>
      <c r="E487" s="136"/>
      <c r="G487" s="136"/>
      <c r="H487" s="136"/>
      <c r="I487" s="136"/>
      <c r="J487" s="137"/>
    </row>
    <row r="488" ht="15.75" customHeight="1">
      <c r="C488" s="136"/>
      <c r="E488" s="136"/>
      <c r="G488" s="136"/>
      <c r="H488" s="136"/>
      <c r="I488" s="136"/>
      <c r="J488" s="137"/>
    </row>
    <row r="489" ht="15.75" customHeight="1">
      <c r="C489" s="136"/>
      <c r="E489" s="136"/>
      <c r="G489" s="136"/>
      <c r="H489" s="136"/>
      <c r="I489" s="136"/>
      <c r="J489" s="137"/>
    </row>
    <row r="490" ht="15.75" customHeight="1">
      <c r="C490" s="136"/>
      <c r="E490" s="136"/>
      <c r="G490" s="136"/>
      <c r="H490" s="136"/>
      <c r="I490" s="136"/>
      <c r="J490" s="137"/>
    </row>
    <row r="491" ht="15.75" customHeight="1">
      <c r="C491" s="136"/>
      <c r="E491" s="136"/>
      <c r="G491" s="136"/>
      <c r="H491" s="136"/>
      <c r="I491" s="136"/>
      <c r="J491" s="137"/>
    </row>
    <row r="492" ht="15.75" customHeight="1">
      <c r="C492" s="136"/>
      <c r="E492" s="136"/>
      <c r="G492" s="136"/>
      <c r="H492" s="136"/>
      <c r="I492" s="136"/>
      <c r="J492" s="137"/>
    </row>
    <row r="493" ht="15.75" customHeight="1">
      <c r="C493" s="136"/>
      <c r="E493" s="136"/>
      <c r="G493" s="136"/>
      <c r="H493" s="136"/>
      <c r="I493" s="136"/>
      <c r="J493" s="137"/>
    </row>
    <row r="494" ht="15.75" customHeight="1">
      <c r="C494" s="136"/>
      <c r="E494" s="136"/>
      <c r="G494" s="136"/>
      <c r="H494" s="136"/>
      <c r="I494" s="136"/>
      <c r="J494" s="137"/>
    </row>
    <row r="495" ht="15.75" customHeight="1">
      <c r="C495" s="136"/>
      <c r="E495" s="136"/>
      <c r="G495" s="136"/>
      <c r="H495" s="136"/>
      <c r="I495" s="136"/>
      <c r="J495" s="137"/>
    </row>
    <row r="496" ht="15.75" customHeight="1">
      <c r="C496" s="136"/>
      <c r="E496" s="136"/>
      <c r="G496" s="136"/>
      <c r="H496" s="136"/>
      <c r="I496" s="136"/>
      <c r="J496" s="137"/>
    </row>
    <row r="497" ht="15.75" customHeight="1">
      <c r="C497" s="136"/>
      <c r="E497" s="136"/>
      <c r="G497" s="136"/>
      <c r="H497" s="136"/>
      <c r="I497" s="136"/>
      <c r="J497" s="137"/>
    </row>
    <row r="498" ht="15.75" customHeight="1">
      <c r="C498" s="136"/>
      <c r="E498" s="136"/>
      <c r="G498" s="136"/>
      <c r="H498" s="136"/>
      <c r="I498" s="136"/>
      <c r="J498" s="137"/>
    </row>
    <row r="499" ht="15.75" customHeight="1">
      <c r="C499" s="136"/>
      <c r="E499" s="136"/>
      <c r="G499" s="136"/>
      <c r="H499" s="136"/>
      <c r="I499" s="136"/>
      <c r="J499" s="137"/>
    </row>
    <row r="500" ht="15.75" customHeight="1">
      <c r="C500" s="136"/>
      <c r="E500" s="136"/>
      <c r="G500" s="136"/>
      <c r="H500" s="136"/>
      <c r="I500" s="136"/>
      <c r="J500" s="137"/>
    </row>
    <row r="501" ht="15.75" customHeight="1">
      <c r="C501" s="136"/>
      <c r="E501" s="136"/>
      <c r="G501" s="136"/>
      <c r="H501" s="136"/>
      <c r="I501" s="136"/>
      <c r="J501" s="137"/>
    </row>
    <row r="502" ht="15.75" customHeight="1">
      <c r="C502" s="136"/>
      <c r="E502" s="136"/>
      <c r="G502" s="136"/>
      <c r="H502" s="136"/>
      <c r="I502" s="136"/>
      <c r="J502" s="137"/>
    </row>
    <row r="503" ht="15.75" customHeight="1">
      <c r="C503" s="136"/>
      <c r="E503" s="136"/>
      <c r="G503" s="136"/>
      <c r="H503" s="136"/>
      <c r="I503" s="136"/>
      <c r="J503" s="137"/>
    </row>
    <row r="504" ht="15.75" customHeight="1">
      <c r="C504" s="136"/>
      <c r="E504" s="136"/>
      <c r="G504" s="136"/>
      <c r="H504" s="136"/>
      <c r="I504" s="136"/>
      <c r="J504" s="137"/>
    </row>
    <row r="505" ht="15.75" customHeight="1">
      <c r="C505" s="136"/>
      <c r="E505" s="136"/>
      <c r="G505" s="136"/>
      <c r="H505" s="136"/>
      <c r="I505" s="136"/>
      <c r="J505" s="137"/>
    </row>
    <row r="506" ht="15.75" customHeight="1">
      <c r="C506" s="136"/>
      <c r="E506" s="136"/>
      <c r="G506" s="136"/>
      <c r="H506" s="136"/>
      <c r="I506" s="136"/>
      <c r="J506" s="137"/>
    </row>
    <row r="507" ht="15.75" customHeight="1">
      <c r="C507" s="136"/>
      <c r="E507" s="136"/>
      <c r="G507" s="136"/>
      <c r="H507" s="136"/>
      <c r="I507" s="136"/>
      <c r="J507" s="137"/>
    </row>
    <row r="508" ht="15.75" customHeight="1">
      <c r="C508" s="136"/>
      <c r="E508" s="136"/>
      <c r="G508" s="136"/>
      <c r="H508" s="136"/>
      <c r="I508" s="136"/>
      <c r="J508" s="137"/>
    </row>
    <row r="509" ht="15.75" customHeight="1">
      <c r="C509" s="136"/>
      <c r="E509" s="136"/>
      <c r="G509" s="136"/>
      <c r="H509" s="136"/>
      <c r="I509" s="136"/>
      <c r="J509" s="137"/>
    </row>
    <row r="510" ht="15.75" customHeight="1">
      <c r="C510" s="136"/>
      <c r="E510" s="136"/>
      <c r="G510" s="136"/>
      <c r="H510" s="136"/>
      <c r="I510" s="136"/>
      <c r="J510" s="137"/>
    </row>
    <row r="511" ht="15.75" customHeight="1">
      <c r="C511" s="136"/>
      <c r="E511" s="136"/>
      <c r="G511" s="136"/>
      <c r="H511" s="136"/>
      <c r="I511" s="136"/>
      <c r="J511" s="137"/>
    </row>
    <row r="512" ht="15.75" customHeight="1">
      <c r="C512" s="136"/>
      <c r="E512" s="136"/>
      <c r="G512" s="136"/>
      <c r="H512" s="136"/>
      <c r="I512" s="136"/>
      <c r="J512" s="137"/>
    </row>
    <row r="513" ht="15.75" customHeight="1">
      <c r="C513" s="136"/>
      <c r="E513" s="136"/>
      <c r="G513" s="136"/>
      <c r="H513" s="136"/>
      <c r="I513" s="136"/>
      <c r="J513" s="137"/>
    </row>
    <row r="514" ht="15.75" customHeight="1">
      <c r="C514" s="136"/>
      <c r="E514" s="136"/>
      <c r="G514" s="136"/>
      <c r="H514" s="136"/>
      <c r="I514" s="136"/>
      <c r="J514" s="137"/>
    </row>
    <row r="515" ht="15.75" customHeight="1">
      <c r="C515" s="136"/>
      <c r="E515" s="136"/>
      <c r="G515" s="136"/>
      <c r="H515" s="136"/>
      <c r="I515" s="136"/>
      <c r="J515" s="137"/>
    </row>
    <row r="516" ht="15.75" customHeight="1">
      <c r="C516" s="136"/>
      <c r="E516" s="136"/>
      <c r="G516" s="136"/>
      <c r="H516" s="136"/>
      <c r="I516" s="136"/>
      <c r="J516" s="137"/>
    </row>
    <row r="517" ht="15.75" customHeight="1">
      <c r="C517" s="136"/>
      <c r="E517" s="136"/>
      <c r="G517" s="136"/>
      <c r="H517" s="136"/>
      <c r="I517" s="136"/>
      <c r="J517" s="137"/>
    </row>
    <row r="518" ht="15.75" customHeight="1">
      <c r="C518" s="136"/>
      <c r="E518" s="136"/>
      <c r="G518" s="136"/>
      <c r="H518" s="136"/>
      <c r="I518" s="136"/>
      <c r="J518" s="137"/>
    </row>
    <row r="519" ht="15.75" customHeight="1">
      <c r="C519" s="136"/>
      <c r="E519" s="136"/>
      <c r="G519" s="136"/>
      <c r="H519" s="136"/>
      <c r="I519" s="136"/>
      <c r="J519" s="137"/>
    </row>
    <row r="520" ht="15.75" customHeight="1">
      <c r="C520" s="136"/>
      <c r="E520" s="136"/>
      <c r="G520" s="136"/>
      <c r="H520" s="136"/>
      <c r="I520" s="136"/>
      <c r="J520" s="137"/>
    </row>
    <row r="521" ht="15.75" customHeight="1">
      <c r="C521" s="136"/>
      <c r="E521" s="136"/>
      <c r="G521" s="136"/>
      <c r="H521" s="136"/>
      <c r="I521" s="136"/>
      <c r="J521" s="137"/>
    </row>
    <row r="522" ht="15.75" customHeight="1">
      <c r="C522" s="136"/>
      <c r="E522" s="136"/>
      <c r="G522" s="136"/>
      <c r="H522" s="136"/>
      <c r="I522" s="136"/>
      <c r="J522" s="137"/>
    </row>
    <row r="523" ht="15.75" customHeight="1">
      <c r="C523" s="136"/>
      <c r="E523" s="136"/>
      <c r="G523" s="136"/>
      <c r="H523" s="136"/>
      <c r="I523" s="136"/>
      <c r="J523" s="137"/>
    </row>
    <row r="524" ht="15.75" customHeight="1">
      <c r="C524" s="136"/>
      <c r="E524" s="136"/>
      <c r="G524" s="136"/>
      <c r="H524" s="136"/>
      <c r="I524" s="136"/>
      <c r="J524" s="137"/>
    </row>
    <row r="525" ht="15.75" customHeight="1">
      <c r="C525" s="136"/>
      <c r="E525" s="136"/>
      <c r="G525" s="136"/>
      <c r="H525" s="136"/>
      <c r="I525" s="136"/>
      <c r="J525" s="137"/>
    </row>
    <row r="526" ht="15.75" customHeight="1">
      <c r="C526" s="136"/>
      <c r="E526" s="136"/>
      <c r="G526" s="136"/>
      <c r="H526" s="136"/>
      <c r="I526" s="136"/>
      <c r="J526" s="137"/>
    </row>
    <row r="527" ht="15.75" customHeight="1">
      <c r="C527" s="136"/>
      <c r="E527" s="136"/>
      <c r="G527" s="136"/>
      <c r="H527" s="136"/>
      <c r="I527" s="136"/>
      <c r="J527" s="137"/>
    </row>
    <row r="528" ht="15.75" customHeight="1">
      <c r="C528" s="136"/>
      <c r="E528" s="136"/>
      <c r="G528" s="136"/>
      <c r="H528" s="136"/>
      <c r="I528" s="136"/>
      <c r="J528" s="137"/>
    </row>
    <row r="529" ht="15.75" customHeight="1">
      <c r="C529" s="136"/>
      <c r="E529" s="136"/>
      <c r="G529" s="136"/>
      <c r="H529" s="136"/>
      <c r="I529" s="136"/>
      <c r="J529" s="137"/>
    </row>
    <row r="530" ht="15.75" customHeight="1">
      <c r="C530" s="136"/>
      <c r="E530" s="136"/>
      <c r="G530" s="136"/>
      <c r="H530" s="136"/>
      <c r="I530" s="136"/>
      <c r="J530" s="137"/>
    </row>
    <row r="531" ht="15.75" customHeight="1">
      <c r="C531" s="136"/>
      <c r="E531" s="136"/>
      <c r="G531" s="136"/>
      <c r="H531" s="136"/>
      <c r="I531" s="136"/>
      <c r="J531" s="137"/>
    </row>
    <row r="532" ht="15.75" customHeight="1">
      <c r="C532" s="136"/>
      <c r="E532" s="136"/>
      <c r="G532" s="136"/>
      <c r="H532" s="136"/>
      <c r="I532" s="136"/>
      <c r="J532" s="137"/>
    </row>
    <row r="533" ht="15.75" customHeight="1">
      <c r="C533" s="136"/>
      <c r="E533" s="136"/>
      <c r="G533" s="136"/>
      <c r="H533" s="136"/>
      <c r="I533" s="136"/>
      <c r="J533" s="137"/>
    </row>
    <row r="534" ht="15.75" customHeight="1">
      <c r="C534" s="136"/>
      <c r="E534" s="136"/>
      <c r="G534" s="136"/>
      <c r="H534" s="136"/>
      <c r="I534" s="136"/>
      <c r="J534" s="137"/>
    </row>
    <row r="535" ht="15.75" customHeight="1">
      <c r="C535" s="136"/>
      <c r="E535" s="136"/>
      <c r="G535" s="136"/>
      <c r="H535" s="136"/>
      <c r="I535" s="136"/>
      <c r="J535" s="137"/>
    </row>
    <row r="536" ht="15.75" customHeight="1">
      <c r="C536" s="136"/>
      <c r="E536" s="136"/>
      <c r="G536" s="136"/>
      <c r="H536" s="136"/>
      <c r="I536" s="136"/>
      <c r="J536" s="137"/>
    </row>
    <row r="537" ht="15.75" customHeight="1">
      <c r="C537" s="136"/>
      <c r="E537" s="136"/>
      <c r="G537" s="136"/>
      <c r="H537" s="136"/>
      <c r="I537" s="136"/>
      <c r="J537" s="137"/>
    </row>
    <row r="538" ht="15.75" customHeight="1">
      <c r="C538" s="136"/>
      <c r="E538" s="136"/>
      <c r="G538" s="136"/>
      <c r="H538" s="136"/>
      <c r="I538" s="136"/>
      <c r="J538" s="137"/>
    </row>
    <row r="539" ht="15.75" customHeight="1">
      <c r="C539" s="136"/>
      <c r="E539" s="136"/>
      <c r="G539" s="136"/>
      <c r="H539" s="136"/>
      <c r="I539" s="136"/>
      <c r="J539" s="137"/>
    </row>
    <row r="540" ht="15.75" customHeight="1">
      <c r="C540" s="136"/>
      <c r="E540" s="136"/>
      <c r="G540" s="136"/>
      <c r="H540" s="136"/>
      <c r="I540" s="136"/>
      <c r="J540" s="137"/>
    </row>
    <row r="541" ht="15.75" customHeight="1">
      <c r="C541" s="136"/>
      <c r="E541" s="136"/>
      <c r="G541" s="136"/>
      <c r="H541" s="136"/>
      <c r="I541" s="136"/>
      <c r="J541" s="137"/>
    </row>
    <row r="542" ht="15.75" customHeight="1">
      <c r="C542" s="136"/>
      <c r="E542" s="136"/>
      <c r="G542" s="136"/>
      <c r="H542" s="136"/>
      <c r="I542" s="136"/>
      <c r="J542" s="137"/>
    </row>
    <row r="543" ht="15.75" customHeight="1">
      <c r="C543" s="136"/>
      <c r="E543" s="136"/>
      <c r="G543" s="136"/>
      <c r="H543" s="136"/>
      <c r="I543" s="136"/>
      <c r="J543" s="137"/>
    </row>
    <row r="544" ht="15.75" customHeight="1">
      <c r="C544" s="136"/>
      <c r="E544" s="136"/>
      <c r="G544" s="136"/>
      <c r="H544" s="136"/>
      <c r="I544" s="136"/>
      <c r="J544" s="137"/>
    </row>
    <row r="545" ht="15.75" customHeight="1">
      <c r="C545" s="136"/>
      <c r="E545" s="136"/>
      <c r="G545" s="136"/>
      <c r="H545" s="136"/>
      <c r="I545" s="136"/>
      <c r="J545" s="137"/>
    </row>
    <row r="546" ht="15.75" customHeight="1">
      <c r="C546" s="136"/>
      <c r="E546" s="136"/>
      <c r="G546" s="136"/>
      <c r="H546" s="136"/>
      <c r="I546" s="136"/>
      <c r="J546" s="137"/>
    </row>
    <row r="547" ht="15.75" customHeight="1">
      <c r="C547" s="136"/>
      <c r="E547" s="136"/>
      <c r="G547" s="136"/>
      <c r="H547" s="136"/>
      <c r="I547" s="136"/>
      <c r="J547" s="137"/>
    </row>
    <row r="548" ht="15.75" customHeight="1">
      <c r="C548" s="136"/>
      <c r="E548" s="136"/>
      <c r="G548" s="136"/>
      <c r="H548" s="136"/>
      <c r="I548" s="136"/>
      <c r="J548" s="137"/>
    </row>
    <row r="549" ht="15.75" customHeight="1">
      <c r="C549" s="136"/>
      <c r="E549" s="136"/>
      <c r="G549" s="136"/>
      <c r="H549" s="136"/>
      <c r="I549" s="136"/>
      <c r="J549" s="137"/>
    </row>
    <row r="550" ht="15.75" customHeight="1">
      <c r="C550" s="136"/>
      <c r="E550" s="136"/>
      <c r="G550" s="136"/>
      <c r="H550" s="136"/>
      <c r="I550" s="136"/>
      <c r="J550" s="137"/>
    </row>
    <row r="551" ht="15.75" customHeight="1">
      <c r="C551" s="136"/>
      <c r="E551" s="136"/>
      <c r="G551" s="136"/>
      <c r="H551" s="136"/>
      <c r="I551" s="136"/>
      <c r="J551" s="137"/>
    </row>
    <row r="552" ht="15.75" customHeight="1">
      <c r="C552" s="136"/>
      <c r="E552" s="136"/>
      <c r="G552" s="136"/>
      <c r="H552" s="136"/>
      <c r="I552" s="136"/>
      <c r="J552" s="137"/>
    </row>
    <row r="553" ht="15.75" customHeight="1">
      <c r="C553" s="136"/>
      <c r="E553" s="136"/>
      <c r="G553" s="136"/>
      <c r="H553" s="136"/>
      <c r="I553" s="136"/>
      <c r="J553" s="137"/>
    </row>
    <row r="554" ht="15.75" customHeight="1">
      <c r="C554" s="136"/>
      <c r="E554" s="136"/>
      <c r="G554" s="136"/>
      <c r="H554" s="136"/>
      <c r="I554" s="136"/>
      <c r="J554" s="137"/>
    </row>
    <row r="555" ht="15.75" customHeight="1">
      <c r="C555" s="136"/>
      <c r="E555" s="136"/>
      <c r="G555" s="136"/>
      <c r="H555" s="136"/>
      <c r="I555" s="136"/>
      <c r="J555" s="137"/>
    </row>
    <row r="556" ht="15.75" customHeight="1">
      <c r="C556" s="136"/>
      <c r="E556" s="136"/>
      <c r="G556" s="136"/>
      <c r="H556" s="136"/>
      <c r="I556" s="136"/>
      <c r="J556" s="137"/>
    </row>
    <row r="557" ht="15.75" customHeight="1">
      <c r="C557" s="136"/>
      <c r="E557" s="136"/>
      <c r="G557" s="136"/>
      <c r="H557" s="136"/>
      <c r="I557" s="136"/>
      <c r="J557" s="137"/>
    </row>
    <row r="558" ht="15.75" customHeight="1">
      <c r="C558" s="136"/>
      <c r="E558" s="136"/>
      <c r="G558" s="136"/>
      <c r="H558" s="136"/>
      <c r="I558" s="136"/>
      <c r="J558" s="137"/>
    </row>
    <row r="559" ht="15.75" customHeight="1">
      <c r="C559" s="136"/>
      <c r="E559" s="136"/>
      <c r="G559" s="136"/>
      <c r="H559" s="136"/>
      <c r="I559" s="136"/>
      <c r="J559" s="137"/>
    </row>
    <row r="560" ht="15.75" customHeight="1">
      <c r="C560" s="136"/>
      <c r="E560" s="136"/>
      <c r="G560" s="136"/>
      <c r="H560" s="136"/>
      <c r="I560" s="136"/>
      <c r="J560" s="137"/>
    </row>
    <row r="561" ht="15.75" customHeight="1">
      <c r="C561" s="136"/>
      <c r="E561" s="136"/>
      <c r="G561" s="136"/>
      <c r="H561" s="136"/>
      <c r="I561" s="136"/>
      <c r="J561" s="137"/>
    </row>
    <row r="562" ht="15.75" customHeight="1">
      <c r="C562" s="136"/>
      <c r="E562" s="136"/>
      <c r="G562" s="136"/>
      <c r="H562" s="136"/>
      <c r="I562" s="136"/>
      <c r="J562" s="137"/>
    </row>
    <row r="563" ht="15.75" customHeight="1">
      <c r="C563" s="136"/>
      <c r="E563" s="136"/>
      <c r="G563" s="136"/>
      <c r="H563" s="136"/>
      <c r="I563" s="136"/>
      <c r="J563" s="137"/>
    </row>
    <row r="564" ht="15.75" customHeight="1">
      <c r="C564" s="136"/>
      <c r="E564" s="136"/>
      <c r="G564" s="136"/>
      <c r="H564" s="136"/>
      <c r="I564" s="136"/>
      <c r="J564" s="137"/>
    </row>
    <row r="565" ht="15.75" customHeight="1">
      <c r="C565" s="136"/>
      <c r="E565" s="136"/>
      <c r="G565" s="136"/>
      <c r="H565" s="136"/>
      <c r="I565" s="136"/>
      <c r="J565" s="137"/>
    </row>
    <row r="566" ht="15.75" customHeight="1">
      <c r="C566" s="136"/>
      <c r="E566" s="136"/>
      <c r="G566" s="136"/>
      <c r="H566" s="136"/>
      <c r="I566" s="136"/>
      <c r="J566" s="137"/>
    </row>
    <row r="567" ht="15.75" customHeight="1">
      <c r="C567" s="136"/>
      <c r="E567" s="136"/>
      <c r="G567" s="136"/>
      <c r="H567" s="136"/>
      <c r="I567" s="136"/>
      <c r="J567" s="137"/>
    </row>
    <row r="568" ht="15.75" customHeight="1">
      <c r="C568" s="136"/>
      <c r="E568" s="136"/>
      <c r="G568" s="136"/>
      <c r="H568" s="136"/>
      <c r="I568" s="136"/>
      <c r="J568" s="137"/>
    </row>
    <row r="569" ht="15.75" customHeight="1">
      <c r="C569" s="136"/>
      <c r="E569" s="136"/>
      <c r="G569" s="136"/>
      <c r="H569" s="136"/>
      <c r="I569" s="136"/>
      <c r="J569" s="137"/>
    </row>
    <row r="570" ht="15.75" customHeight="1">
      <c r="C570" s="136"/>
      <c r="E570" s="136"/>
      <c r="G570" s="136"/>
      <c r="H570" s="136"/>
      <c r="I570" s="136"/>
      <c r="J570" s="137"/>
    </row>
    <row r="571" ht="15.75" customHeight="1">
      <c r="C571" s="136"/>
      <c r="E571" s="136"/>
      <c r="G571" s="136"/>
      <c r="H571" s="136"/>
      <c r="I571" s="136"/>
      <c r="J571" s="137"/>
    </row>
    <row r="572" ht="15.75" customHeight="1">
      <c r="C572" s="136"/>
      <c r="E572" s="136"/>
      <c r="G572" s="136"/>
      <c r="H572" s="136"/>
      <c r="I572" s="136"/>
      <c r="J572" s="137"/>
    </row>
    <row r="573" ht="15.75" customHeight="1">
      <c r="C573" s="136"/>
      <c r="E573" s="136"/>
      <c r="G573" s="136"/>
      <c r="H573" s="136"/>
      <c r="I573" s="136"/>
      <c r="J573" s="137"/>
    </row>
    <row r="574" ht="15.75" customHeight="1">
      <c r="C574" s="136"/>
      <c r="E574" s="136"/>
      <c r="G574" s="136"/>
      <c r="H574" s="136"/>
      <c r="I574" s="136"/>
      <c r="J574" s="137"/>
    </row>
    <row r="575" ht="15.75" customHeight="1">
      <c r="C575" s="136"/>
      <c r="E575" s="136"/>
      <c r="G575" s="136"/>
      <c r="H575" s="136"/>
      <c r="I575" s="136"/>
      <c r="J575" s="137"/>
    </row>
    <row r="576" ht="15.75" customHeight="1">
      <c r="C576" s="136"/>
      <c r="E576" s="136"/>
      <c r="G576" s="136"/>
      <c r="H576" s="136"/>
      <c r="I576" s="136"/>
      <c r="J576" s="137"/>
    </row>
    <row r="577" ht="15.75" customHeight="1">
      <c r="C577" s="136"/>
      <c r="E577" s="136"/>
      <c r="G577" s="136"/>
      <c r="H577" s="136"/>
      <c r="I577" s="136"/>
      <c r="J577" s="137"/>
    </row>
    <row r="578" ht="15.75" customHeight="1">
      <c r="C578" s="136"/>
      <c r="E578" s="136"/>
      <c r="G578" s="136"/>
      <c r="H578" s="136"/>
      <c r="I578" s="136"/>
      <c r="J578" s="137"/>
    </row>
    <row r="579" ht="15.75" customHeight="1">
      <c r="C579" s="136"/>
      <c r="E579" s="136"/>
      <c r="G579" s="136"/>
      <c r="H579" s="136"/>
      <c r="I579" s="136"/>
      <c r="J579" s="137"/>
    </row>
    <row r="580" ht="15.75" customHeight="1">
      <c r="C580" s="136"/>
      <c r="E580" s="136"/>
      <c r="G580" s="136"/>
      <c r="H580" s="136"/>
      <c r="I580" s="136"/>
      <c r="J580" s="137"/>
    </row>
    <row r="581" ht="15.75" customHeight="1">
      <c r="C581" s="136"/>
      <c r="E581" s="136"/>
      <c r="G581" s="136"/>
      <c r="H581" s="136"/>
      <c r="I581" s="136"/>
      <c r="J581" s="137"/>
    </row>
    <row r="582" ht="15.75" customHeight="1">
      <c r="C582" s="136"/>
      <c r="E582" s="136"/>
      <c r="G582" s="136"/>
      <c r="H582" s="136"/>
      <c r="I582" s="136"/>
      <c r="J582" s="137"/>
    </row>
    <row r="583" ht="15.75" customHeight="1">
      <c r="C583" s="136"/>
      <c r="E583" s="136"/>
      <c r="G583" s="136"/>
      <c r="H583" s="136"/>
      <c r="I583" s="136"/>
      <c r="J583" s="137"/>
    </row>
    <row r="584" ht="15.75" customHeight="1">
      <c r="C584" s="136"/>
      <c r="E584" s="136"/>
      <c r="G584" s="136"/>
      <c r="H584" s="136"/>
      <c r="I584" s="136"/>
      <c r="J584" s="137"/>
    </row>
    <row r="585" ht="15.75" customHeight="1">
      <c r="C585" s="136"/>
      <c r="E585" s="136"/>
      <c r="G585" s="136"/>
      <c r="H585" s="136"/>
      <c r="I585" s="136"/>
      <c r="J585" s="137"/>
    </row>
    <row r="586" ht="15.75" customHeight="1">
      <c r="C586" s="136"/>
      <c r="E586" s="136"/>
      <c r="G586" s="136"/>
      <c r="H586" s="136"/>
      <c r="I586" s="136"/>
      <c r="J586" s="137"/>
    </row>
    <row r="587" ht="15.75" customHeight="1">
      <c r="C587" s="136"/>
      <c r="E587" s="136"/>
      <c r="G587" s="136"/>
      <c r="H587" s="136"/>
      <c r="I587" s="136"/>
      <c r="J587" s="137"/>
    </row>
    <row r="588" ht="15.75" customHeight="1">
      <c r="C588" s="136"/>
      <c r="E588" s="136"/>
      <c r="G588" s="136"/>
      <c r="H588" s="136"/>
      <c r="I588" s="136"/>
      <c r="J588" s="137"/>
    </row>
    <row r="589" ht="15.75" customHeight="1">
      <c r="C589" s="136"/>
      <c r="E589" s="136"/>
      <c r="G589" s="136"/>
      <c r="H589" s="136"/>
      <c r="I589" s="136"/>
      <c r="J589" s="137"/>
    </row>
    <row r="590" ht="15.75" customHeight="1">
      <c r="C590" s="136"/>
      <c r="E590" s="136"/>
      <c r="G590" s="136"/>
      <c r="H590" s="136"/>
      <c r="I590" s="136"/>
      <c r="J590" s="137"/>
    </row>
    <row r="591" ht="15.75" customHeight="1">
      <c r="C591" s="136"/>
      <c r="E591" s="136"/>
      <c r="G591" s="136"/>
      <c r="H591" s="136"/>
      <c r="I591" s="136"/>
      <c r="J591" s="137"/>
    </row>
    <row r="592" ht="15.75" customHeight="1">
      <c r="C592" s="136"/>
      <c r="E592" s="136"/>
      <c r="G592" s="136"/>
      <c r="H592" s="136"/>
      <c r="I592" s="136"/>
      <c r="J592" s="137"/>
    </row>
    <row r="593" ht="15.75" customHeight="1">
      <c r="C593" s="136"/>
      <c r="E593" s="136"/>
      <c r="G593" s="136"/>
      <c r="H593" s="136"/>
      <c r="I593" s="136"/>
      <c r="J593" s="137"/>
    </row>
    <row r="594" ht="15.75" customHeight="1">
      <c r="C594" s="136"/>
      <c r="E594" s="136"/>
      <c r="G594" s="136"/>
      <c r="H594" s="136"/>
      <c r="I594" s="136"/>
      <c r="J594" s="137"/>
    </row>
    <row r="595" ht="15.75" customHeight="1">
      <c r="C595" s="136"/>
      <c r="E595" s="136"/>
      <c r="G595" s="136"/>
      <c r="H595" s="136"/>
      <c r="I595" s="136"/>
      <c r="J595" s="137"/>
    </row>
    <row r="596" ht="15.75" customHeight="1">
      <c r="C596" s="136"/>
      <c r="E596" s="136"/>
      <c r="G596" s="136"/>
      <c r="H596" s="136"/>
      <c r="I596" s="136"/>
      <c r="J596" s="137"/>
    </row>
    <row r="597" ht="15.75" customHeight="1">
      <c r="C597" s="136"/>
      <c r="E597" s="136"/>
      <c r="G597" s="136"/>
      <c r="H597" s="136"/>
      <c r="I597" s="136"/>
      <c r="J597" s="137"/>
    </row>
    <row r="598" ht="15.75" customHeight="1">
      <c r="C598" s="136"/>
      <c r="E598" s="136"/>
      <c r="G598" s="136"/>
      <c r="H598" s="136"/>
      <c r="I598" s="136"/>
      <c r="J598" s="137"/>
    </row>
    <row r="599" ht="15.75" customHeight="1">
      <c r="C599" s="136"/>
      <c r="E599" s="136"/>
      <c r="G599" s="136"/>
      <c r="H599" s="136"/>
      <c r="I599" s="136"/>
      <c r="J599" s="137"/>
    </row>
    <row r="600" ht="15.75" customHeight="1">
      <c r="C600" s="136"/>
      <c r="E600" s="136"/>
      <c r="G600" s="136"/>
      <c r="H600" s="136"/>
      <c r="I600" s="136"/>
      <c r="J600" s="137"/>
    </row>
    <row r="601" ht="15.75" customHeight="1">
      <c r="C601" s="136"/>
      <c r="E601" s="136"/>
      <c r="G601" s="136"/>
      <c r="H601" s="136"/>
      <c r="I601" s="136"/>
      <c r="J601" s="137"/>
    </row>
    <row r="602" ht="15.75" customHeight="1">
      <c r="C602" s="136"/>
      <c r="E602" s="136"/>
      <c r="G602" s="136"/>
      <c r="H602" s="136"/>
      <c r="I602" s="136"/>
      <c r="J602" s="137"/>
    </row>
    <row r="603" ht="15.75" customHeight="1">
      <c r="C603" s="136"/>
      <c r="E603" s="136"/>
      <c r="G603" s="136"/>
      <c r="H603" s="136"/>
      <c r="I603" s="136"/>
      <c r="J603" s="137"/>
    </row>
    <row r="604" ht="15.75" customHeight="1">
      <c r="C604" s="136"/>
      <c r="E604" s="136"/>
      <c r="G604" s="136"/>
      <c r="H604" s="136"/>
      <c r="I604" s="136"/>
      <c r="J604" s="137"/>
    </row>
    <row r="605" ht="15.75" customHeight="1">
      <c r="C605" s="136"/>
      <c r="E605" s="136"/>
      <c r="G605" s="136"/>
      <c r="H605" s="136"/>
      <c r="I605" s="136"/>
      <c r="J605" s="137"/>
    </row>
    <row r="606" ht="15.75" customHeight="1">
      <c r="C606" s="136"/>
      <c r="E606" s="136"/>
      <c r="G606" s="136"/>
      <c r="H606" s="136"/>
      <c r="I606" s="136"/>
      <c r="J606" s="137"/>
    </row>
    <row r="607" ht="15.75" customHeight="1">
      <c r="C607" s="136"/>
      <c r="E607" s="136"/>
      <c r="G607" s="136"/>
      <c r="H607" s="136"/>
      <c r="I607" s="136"/>
      <c r="J607" s="137"/>
    </row>
    <row r="608" ht="15.75" customHeight="1">
      <c r="C608" s="136"/>
      <c r="E608" s="136"/>
      <c r="G608" s="136"/>
      <c r="H608" s="136"/>
      <c r="I608" s="136"/>
      <c r="J608" s="137"/>
    </row>
    <row r="609" ht="15.75" customHeight="1">
      <c r="C609" s="136"/>
      <c r="E609" s="136"/>
      <c r="G609" s="136"/>
      <c r="H609" s="136"/>
      <c r="I609" s="136"/>
      <c r="J609" s="137"/>
    </row>
    <row r="610" ht="15.75" customHeight="1">
      <c r="C610" s="136"/>
      <c r="E610" s="136"/>
      <c r="G610" s="136"/>
      <c r="H610" s="136"/>
      <c r="I610" s="136"/>
      <c r="J610" s="137"/>
    </row>
    <row r="611" ht="15.75" customHeight="1">
      <c r="C611" s="136"/>
      <c r="E611" s="136"/>
      <c r="G611" s="136"/>
      <c r="H611" s="136"/>
      <c r="I611" s="136"/>
      <c r="J611" s="137"/>
    </row>
    <row r="612" ht="15.75" customHeight="1">
      <c r="C612" s="136"/>
      <c r="E612" s="136"/>
      <c r="G612" s="136"/>
      <c r="H612" s="136"/>
      <c r="I612" s="136"/>
      <c r="J612" s="137"/>
    </row>
    <row r="613" ht="15.75" customHeight="1">
      <c r="C613" s="136"/>
      <c r="E613" s="136"/>
      <c r="G613" s="136"/>
      <c r="H613" s="136"/>
      <c r="I613" s="136"/>
      <c r="J613" s="137"/>
    </row>
    <row r="614" ht="15.75" customHeight="1">
      <c r="C614" s="136"/>
      <c r="E614" s="136"/>
      <c r="G614" s="136"/>
      <c r="H614" s="136"/>
      <c r="I614" s="136"/>
      <c r="J614" s="137"/>
    </row>
    <row r="615" ht="15.75" customHeight="1">
      <c r="C615" s="136"/>
      <c r="E615" s="136"/>
      <c r="G615" s="136"/>
      <c r="H615" s="136"/>
      <c r="I615" s="136"/>
      <c r="J615" s="137"/>
    </row>
    <row r="616" ht="15.75" customHeight="1">
      <c r="C616" s="136"/>
      <c r="E616" s="136"/>
      <c r="G616" s="136"/>
      <c r="H616" s="136"/>
      <c r="I616" s="136"/>
      <c r="J616" s="137"/>
    </row>
    <row r="617" ht="15.75" customHeight="1">
      <c r="C617" s="136"/>
      <c r="E617" s="136"/>
      <c r="G617" s="136"/>
      <c r="H617" s="136"/>
      <c r="I617" s="136"/>
      <c r="J617" s="137"/>
    </row>
    <row r="618" ht="15.75" customHeight="1">
      <c r="C618" s="136"/>
      <c r="E618" s="136"/>
      <c r="G618" s="136"/>
      <c r="H618" s="136"/>
      <c r="I618" s="136"/>
      <c r="J618" s="137"/>
    </row>
    <row r="619" ht="15.75" customHeight="1">
      <c r="C619" s="136"/>
      <c r="E619" s="136"/>
      <c r="G619" s="136"/>
      <c r="H619" s="136"/>
      <c r="I619" s="136"/>
      <c r="J619" s="137"/>
    </row>
    <row r="620" ht="15.75" customHeight="1">
      <c r="C620" s="136"/>
      <c r="E620" s="136"/>
      <c r="G620" s="136"/>
      <c r="H620" s="136"/>
      <c r="I620" s="136"/>
      <c r="J620" s="137"/>
    </row>
    <row r="621" ht="15.75" customHeight="1">
      <c r="C621" s="136"/>
      <c r="E621" s="136"/>
      <c r="G621" s="136"/>
      <c r="H621" s="136"/>
      <c r="I621" s="136"/>
      <c r="J621" s="137"/>
    </row>
    <row r="622" ht="15.75" customHeight="1">
      <c r="C622" s="136"/>
      <c r="E622" s="136"/>
      <c r="G622" s="136"/>
      <c r="H622" s="136"/>
      <c r="I622" s="136"/>
      <c r="J622" s="137"/>
    </row>
    <row r="623" ht="15.75" customHeight="1">
      <c r="C623" s="136"/>
      <c r="E623" s="136"/>
      <c r="G623" s="136"/>
      <c r="H623" s="136"/>
      <c r="I623" s="136"/>
      <c r="J623" s="137"/>
    </row>
    <row r="624" ht="15.75" customHeight="1">
      <c r="C624" s="136"/>
      <c r="E624" s="136"/>
      <c r="G624" s="136"/>
      <c r="H624" s="136"/>
      <c r="I624" s="136"/>
      <c r="J624" s="137"/>
    </row>
    <row r="625" ht="15.75" customHeight="1">
      <c r="C625" s="136"/>
      <c r="E625" s="136"/>
      <c r="G625" s="136"/>
      <c r="H625" s="136"/>
      <c r="I625" s="136"/>
      <c r="J625" s="137"/>
    </row>
    <row r="626" ht="15.75" customHeight="1">
      <c r="C626" s="136"/>
      <c r="E626" s="136"/>
      <c r="G626" s="136"/>
      <c r="H626" s="136"/>
      <c r="I626" s="136"/>
      <c r="J626" s="137"/>
    </row>
    <row r="627" ht="15.75" customHeight="1">
      <c r="C627" s="136"/>
      <c r="E627" s="136"/>
      <c r="G627" s="136"/>
      <c r="H627" s="136"/>
      <c r="I627" s="136"/>
      <c r="J627" s="137"/>
    </row>
    <row r="628" ht="15.75" customHeight="1">
      <c r="C628" s="136"/>
      <c r="E628" s="136"/>
      <c r="G628" s="136"/>
      <c r="H628" s="136"/>
      <c r="I628" s="136"/>
      <c r="J628" s="137"/>
    </row>
    <row r="629" ht="15.75" customHeight="1">
      <c r="C629" s="136"/>
      <c r="E629" s="136"/>
      <c r="G629" s="136"/>
      <c r="H629" s="136"/>
      <c r="I629" s="136"/>
      <c r="J629" s="137"/>
    </row>
    <row r="630" ht="15.75" customHeight="1">
      <c r="C630" s="136"/>
      <c r="E630" s="136"/>
      <c r="G630" s="136"/>
      <c r="H630" s="136"/>
      <c r="I630" s="136"/>
      <c r="J630" s="137"/>
    </row>
    <row r="631" ht="15.75" customHeight="1">
      <c r="C631" s="136"/>
      <c r="E631" s="136"/>
      <c r="G631" s="136"/>
      <c r="H631" s="136"/>
      <c r="I631" s="136"/>
      <c r="J631" s="137"/>
    </row>
    <row r="632" ht="15.75" customHeight="1">
      <c r="C632" s="136"/>
      <c r="E632" s="136"/>
      <c r="G632" s="136"/>
      <c r="H632" s="136"/>
      <c r="I632" s="136"/>
      <c r="J632" s="137"/>
    </row>
    <row r="633" ht="15.75" customHeight="1">
      <c r="C633" s="136"/>
      <c r="E633" s="136"/>
      <c r="G633" s="136"/>
      <c r="H633" s="136"/>
      <c r="I633" s="136"/>
      <c r="J633" s="137"/>
    </row>
    <row r="634" ht="15.75" customHeight="1">
      <c r="C634" s="136"/>
      <c r="E634" s="136"/>
      <c r="G634" s="136"/>
      <c r="H634" s="136"/>
      <c r="I634" s="136"/>
      <c r="J634" s="137"/>
    </row>
    <row r="635" ht="15.75" customHeight="1">
      <c r="C635" s="136"/>
      <c r="E635" s="136"/>
      <c r="G635" s="136"/>
      <c r="H635" s="136"/>
      <c r="I635" s="136"/>
      <c r="J635" s="137"/>
    </row>
    <row r="636" ht="15.75" customHeight="1">
      <c r="C636" s="136"/>
      <c r="E636" s="136"/>
      <c r="G636" s="136"/>
      <c r="H636" s="136"/>
      <c r="I636" s="136"/>
      <c r="J636" s="137"/>
    </row>
    <row r="637" ht="15.75" customHeight="1">
      <c r="C637" s="136"/>
      <c r="E637" s="136"/>
      <c r="G637" s="136"/>
      <c r="H637" s="136"/>
      <c r="I637" s="136"/>
      <c r="J637" s="137"/>
    </row>
    <row r="638" ht="15.75" customHeight="1">
      <c r="C638" s="136"/>
      <c r="E638" s="136"/>
      <c r="G638" s="136"/>
      <c r="H638" s="136"/>
      <c r="I638" s="136"/>
      <c r="J638" s="137"/>
    </row>
    <row r="639" ht="15.75" customHeight="1">
      <c r="C639" s="136"/>
      <c r="E639" s="136"/>
      <c r="G639" s="136"/>
      <c r="H639" s="136"/>
      <c r="I639" s="136"/>
      <c r="J639" s="137"/>
    </row>
    <row r="640" ht="15.75" customHeight="1">
      <c r="C640" s="136"/>
      <c r="E640" s="136"/>
      <c r="G640" s="136"/>
      <c r="H640" s="136"/>
      <c r="I640" s="136"/>
      <c r="J640" s="137"/>
    </row>
    <row r="641" ht="15.75" customHeight="1">
      <c r="C641" s="136"/>
      <c r="E641" s="136"/>
      <c r="G641" s="136"/>
      <c r="H641" s="136"/>
      <c r="I641" s="136"/>
      <c r="J641" s="137"/>
    </row>
    <row r="642" ht="15.75" customHeight="1">
      <c r="C642" s="136"/>
      <c r="E642" s="136"/>
      <c r="G642" s="136"/>
      <c r="H642" s="136"/>
      <c r="I642" s="136"/>
      <c r="J642" s="137"/>
    </row>
    <row r="643" ht="15.75" customHeight="1">
      <c r="C643" s="136"/>
      <c r="E643" s="136"/>
      <c r="G643" s="136"/>
      <c r="H643" s="136"/>
      <c r="I643" s="136"/>
      <c r="J643" s="137"/>
    </row>
    <row r="644" ht="15.75" customHeight="1">
      <c r="C644" s="136"/>
      <c r="E644" s="136"/>
      <c r="G644" s="136"/>
      <c r="H644" s="136"/>
      <c r="I644" s="136"/>
      <c r="J644" s="137"/>
    </row>
    <row r="645" ht="15.75" customHeight="1">
      <c r="C645" s="136"/>
      <c r="E645" s="136"/>
      <c r="G645" s="136"/>
      <c r="H645" s="136"/>
      <c r="I645" s="136"/>
      <c r="J645" s="137"/>
    </row>
    <row r="646" ht="15.75" customHeight="1">
      <c r="C646" s="136"/>
      <c r="E646" s="136"/>
      <c r="G646" s="136"/>
      <c r="H646" s="136"/>
      <c r="I646" s="136"/>
      <c r="J646" s="137"/>
    </row>
    <row r="647" ht="15.75" customHeight="1">
      <c r="C647" s="136"/>
      <c r="E647" s="136"/>
      <c r="G647" s="136"/>
      <c r="H647" s="136"/>
      <c r="I647" s="136"/>
      <c r="J647" s="137"/>
    </row>
    <row r="648" ht="15.75" customHeight="1">
      <c r="C648" s="136"/>
      <c r="E648" s="136"/>
      <c r="G648" s="136"/>
      <c r="H648" s="136"/>
      <c r="I648" s="136"/>
      <c r="J648" s="137"/>
    </row>
    <row r="649" ht="15.75" customHeight="1">
      <c r="C649" s="136"/>
      <c r="E649" s="136"/>
      <c r="G649" s="136"/>
      <c r="H649" s="136"/>
      <c r="I649" s="136"/>
      <c r="J649" s="137"/>
    </row>
    <row r="650" ht="15.75" customHeight="1">
      <c r="C650" s="136"/>
      <c r="E650" s="136"/>
      <c r="G650" s="136"/>
      <c r="H650" s="136"/>
      <c r="I650" s="136"/>
      <c r="J650" s="137"/>
    </row>
    <row r="651" ht="15.75" customHeight="1">
      <c r="C651" s="136"/>
      <c r="E651" s="136"/>
      <c r="G651" s="136"/>
      <c r="H651" s="136"/>
      <c r="I651" s="136"/>
      <c r="J651" s="137"/>
    </row>
    <row r="652" ht="15.75" customHeight="1">
      <c r="C652" s="136"/>
      <c r="E652" s="136"/>
      <c r="G652" s="136"/>
      <c r="H652" s="136"/>
      <c r="I652" s="136"/>
      <c r="J652" s="137"/>
    </row>
    <row r="653" ht="15.75" customHeight="1">
      <c r="C653" s="136"/>
      <c r="E653" s="136"/>
      <c r="G653" s="136"/>
      <c r="H653" s="136"/>
      <c r="I653" s="136"/>
      <c r="J653" s="137"/>
    </row>
    <row r="654" ht="15.75" customHeight="1">
      <c r="C654" s="136"/>
      <c r="E654" s="136"/>
      <c r="G654" s="136"/>
      <c r="H654" s="136"/>
      <c r="I654" s="136"/>
      <c r="J654" s="137"/>
    </row>
    <row r="655" ht="15.75" customHeight="1">
      <c r="C655" s="136"/>
      <c r="E655" s="136"/>
      <c r="G655" s="136"/>
      <c r="H655" s="136"/>
      <c r="I655" s="136"/>
      <c r="J655" s="137"/>
    </row>
    <row r="656" ht="15.75" customHeight="1">
      <c r="C656" s="136"/>
      <c r="E656" s="136"/>
      <c r="G656" s="136"/>
      <c r="H656" s="136"/>
      <c r="I656" s="136"/>
      <c r="J656" s="137"/>
    </row>
    <row r="657" ht="15.75" customHeight="1">
      <c r="C657" s="136"/>
      <c r="E657" s="136"/>
      <c r="G657" s="136"/>
      <c r="H657" s="136"/>
      <c r="I657" s="136"/>
      <c r="J657" s="137"/>
    </row>
    <row r="658" ht="15.75" customHeight="1">
      <c r="C658" s="136"/>
      <c r="E658" s="136"/>
      <c r="G658" s="136"/>
      <c r="H658" s="136"/>
      <c r="I658" s="136"/>
      <c r="J658" s="137"/>
    </row>
    <row r="659" ht="15.75" customHeight="1">
      <c r="C659" s="136"/>
      <c r="E659" s="136"/>
      <c r="G659" s="136"/>
      <c r="H659" s="136"/>
      <c r="I659" s="136"/>
      <c r="J659" s="137"/>
    </row>
    <row r="660" ht="15.75" customHeight="1">
      <c r="C660" s="136"/>
      <c r="E660" s="136"/>
      <c r="G660" s="136"/>
      <c r="H660" s="136"/>
      <c r="I660" s="136"/>
      <c r="J660" s="137"/>
    </row>
    <row r="661" ht="15.75" customHeight="1">
      <c r="C661" s="136"/>
      <c r="E661" s="136"/>
      <c r="G661" s="136"/>
      <c r="H661" s="136"/>
      <c r="I661" s="136"/>
      <c r="J661" s="137"/>
    </row>
    <row r="662" ht="15.75" customHeight="1">
      <c r="C662" s="136"/>
      <c r="E662" s="136"/>
      <c r="G662" s="136"/>
      <c r="H662" s="136"/>
      <c r="I662" s="136"/>
      <c r="J662" s="137"/>
    </row>
    <row r="663" ht="15.75" customHeight="1">
      <c r="C663" s="136"/>
      <c r="E663" s="136"/>
      <c r="G663" s="136"/>
      <c r="H663" s="136"/>
      <c r="I663" s="136"/>
      <c r="J663" s="137"/>
    </row>
    <row r="664" ht="15.75" customHeight="1">
      <c r="C664" s="136"/>
      <c r="E664" s="136"/>
      <c r="G664" s="136"/>
      <c r="H664" s="136"/>
      <c r="I664" s="136"/>
      <c r="J664" s="137"/>
    </row>
    <row r="665" ht="15.75" customHeight="1">
      <c r="C665" s="136"/>
      <c r="E665" s="136"/>
      <c r="G665" s="136"/>
      <c r="H665" s="136"/>
      <c r="I665" s="136"/>
      <c r="J665" s="137"/>
    </row>
    <row r="666" ht="15.75" customHeight="1">
      <c r="C666" s="136"/>
      <c r="E666" s="136"/>
      <c r="G666" s="136"/>
      <c r="H666" s="136"/>
      <c r="I666" s="136"/>
      <c r="J666" s="137"/>
    </row>
    <row r="667" ht="15.75" customHeight="1">
      <c r="C667" s="136"/>
      <c r="E667" s="136"/>
      <c r="G667" s="136"/>
      <c r="H667" s="136"/>
      <c r="I667" s="136"/>
      <c r="J667" s="137"/>
    </row>
    <row r="668" ht="15.75" customHeight="1">
      <c r="C668" s="136"/>
      <c r="E668" s="136"/>
      <c r="G668" s="136"/>
      <c r="H668" s="136"/>
      <c r="I668" s="136"/>
      <c r="J668" s="137"/>
    </row>
    <row r="669" ht="15.75" customHeight="1">
      <c r="C669" s="136"/>
      <c r="E669" s="136"/>
      <c r="G669" s="136"/>
      <c r="H669" s="136"/>
      <c r="I669" s="136"/>
      <c r="J669" s="137"/>
    </row>
    <row r="670" ht="15.75" customHeight="1">
      <c r="C670" s="136"/>
      <c r="E670" s="136"/>
      <c r="G670" s="136"/>
      <c r="H670" s="136"/>
      <c r="I670" s="136"/>
      <c r="J670" s="137"/>
    </row>
    <row r="671" ht="15.75" customHeight="1">
      <c r="C671" s="136"/>
      <c r="E671" s="136"/>
      <c r="G671" s="136"/>
      <c r="H671" s="136"/>
      <c r="I671" s="136"/>
      <c r="J671" s="137"/>
    </row>
    <row r="672" ht="15.75" customHeight="1">
      <c r="C672" s="136"/>
      <c r="E672" s="136"/>
      <c r="G672" s="136"/>
      <c r="H672" s="136"/>
      <c r="I672" s="136"/>
      <c r="J672" s="137"/>
    </row>
    <row r="673" ht="15.75" customHeight="1">
      <c r="C673" s="136"/>
      <c r="E673" s="136"/>
      <c r="G673" s="136"/>
      <c r="H673" s="136"/>
      <c r="I673" s="136"/>
      <c r="J673" s="137"/>
    </row>
    <row r="674" ht="15.75" customHeight="1">
      <c r="C674" s="136"/>
      <c r="E674" s="136"/>
      <c r="G674" s="136"/>
      <c r="H674" s="136"/>
      <c r="I674" s="136"/>
      <c r="J674" s="137"/>
    </row>
    <row r="675" ht="15.75" customHeight="1">
      <c r="C675" s="136"/>
      <c r="E675" s="136"/>
      <c r="G675" s="136"/>
      <c r="H675" s="136"/>
      <c r="I675" s="136"/>
      <c r="J675" s="137"/>
    </row>
    <row r="676" ht="15.75" customHeight="1">
      <c r="C676" s="136"/>
      <c r="E676" s="136"/>
      <c r="G676" s="136"/>
      <c r="H676" s="136"/>
      <c r="I676" s="136"/>
      <c r="J676" s="137"/>
    </row>
    <row r="677" ht="15.75" customHeight="1">
      <c r="C677" s="136"/>
      <c r="E677" s="136"/>
      <c r="G677" s="136"/>
      <c r="H677" s="136"/>
      <c r="I677" s="136"/>
      <c r="J677" s="137"/>
    </row>
    <row r="678" ht="15.75" customHeight="1">
      <c r="C678" s="136"/>
      <c r="E678" s="136"/>
      <c r="G678" s="136"/>
      <c r="H678" s="136"/>
      <c r="I678" s="136"/>
      <c r="J678" s="137"/>
    </row>
    <row r="679" ht="15.75" customHeight="1">
      <c r="C679" s="136"/>
      <c r="E679" s="136"/>
      <c r="G679" s="136"/>
      <c r="H679" s="136"/>
      <c r="I679" s="136"/>
      <c r="J679" s="137"/>
    </row>
    <row r="680" ht="15.75" customHeight="1">
      <c r="C680" s="136"/>
      <c r="E680" s="136"/>
      <c r="G680" s="136"/>
      <c r="H680" s="136"/>
      <c r="I680" s="136"/>
      <c r="J680" s="137"/>
    </row>
    <row r="681" ht="15.75" customHeight="1">
      <c r="C681" s="136"/>
      <c r="E681" s="136"/>
      <c r="G681" s="136"/>
      <c r="H681" s="136"/>
      <c r="I681" s="136"/>
      <c r="J681" s="137"/>
    </row>
    <row r="682" ht="15.75" customHeight="1">
      <c r="C682" s="136"/>
      <c r="E682" s="136"/>
      <c r="G682" s="136"/>
      <c r="H682" s="136"/>
      <c r="I682" s="136"/>
      <c r="J682" s="137"/>
    </row>
    <row r="683" ht="15.75" customHeight="1">
      <c r="C683" s="136"/>
      <c r="E683" s="136"/>
      <c r="G683" s="136"/>
      <c r="H683" s="136"/>
      <c r="I683" s="136"/>
      <c r="J683" s="137"/>
    </row>
    <row r="684" ht="15.75" customHeight="1">
      <c r="C684" s="136"/>
      <c r="E684" s="136"/>
      <c r="G684" s="136"/>
      <c r="H684" s="136"/>
      <c r="I684" s="136"/>
      <c r="J684" s="137"/>
    </row>
    <row r="685" ht="15.75" customHeight="1">
      <c r="C685" s="136"/>
      <c r="E685" s="136"/>
      <c r="G685" s="136"/>
      <c r="H685" s="136"/>
      <c r="I685" s="136"/>
      <c r="J685" s="137"/>
    </row>
    <row r="686" ht="15.75" customHeight="1">
      <c r="C686" s="136"/>
      <c r="E686" s="136"/>
      <c r="G686" s="136"/>
      <c r="H686" s="136"/>
      <c r="I686" s="136"/>
      <c r="J686" s="137"/>
    </row>
    <row r="687" ht="15.75" customHeight="1">
      <c r="C687" s="136"/>
      <c r="E687" s="136"/>
      <c r="G687" s="136"/>
      <c r="H687" s="136"/>
      <c r="I687" s="136"/>
      <c r="J687" s="137"/>
    </row>
    <row r="688" ht="15.75" customHeight="1">
      <c r="C688" s="136"/>
      <c r="E688" s="136"/>
      <c r="G688" s="136"/>
      <c r="H688" s="136"/>
      <c r="I688" s="136"/>
      <c r="J688" s="137"/>
    </row>
    <row r="689" ht="15.75" customHeight="1">
      <c r="C689" s="136"/>
      <c r="E689" s="136"/>
      <c r="G689" s="136"/>
      <c r="H689" s="136"/>
      <c r="I689" s="136"/>
      <c r="J689" s="137"/>
    </row>
    <row r="690" ht="15.75" customHeight="1">
      <c r="C690" s="136"/>
      <c r="E690" s="136"/>
      <c r="G690" s="136"/>
      <c r="H690" s="136"/>
      <c r="I690" s="136"/>
      <c r="J690" s="137"/>
    </row>
    <row r="691" ht="15.75" customHeight="1">
      <c r="C691" s="136"/>
      <c r="E691" s="136"/>
      <c r="G691" s="136"/>
      <c r="H691" s="136"/>
      <c r="I691" s="136"/>
      <c r="J691" s="137"/>
    </row>
    <row r="692" ht="15.75" customHeight="1">
      <c r="C692" s="136"/>
      <c r="E692" s="136"/>
      <c r="G692" s="136"/>
      <c r="H692" s="136"/>
      <c r="I692" s="136"/>
      <c r="J692" s="137"/>
    </row>
    <row r="693" ht="15.75" customHeight="1">
      <c r="C693" s="136"/>
      <c r="E693" s="136"/>
      <c r="G693" s="136"/>
      <c r="H693" s="136"/>
      <c r="I693" s="136"/>
      <c r="J693" s="137"/>
    </row>
    <row r="694" ht="15.75" customHeight="1">
      <c r="C694" s="136"/>
      <c r="E694" s="136"/>
      <c r="G694" s="136"/>
      <c r="H694" s="136"/>
      <c r="I694" s="136"/>
      <c r="J694" s="137"/>
    </row>
    <row r="695" ht="15.75" customHeight="1">
      <c r="C695" s="136"/>
      <c r="E695" s="136"/>
      <c r="G695" s="136"/>
      <c r="H695" s="136"/>
      <c r="I695" s="136"/>
      <c r="J695" s="137"/>
    </row>
    <row r="696" ht="15.75" customHeight="1">
      <c r="C696" s="136"/>
      <c r="E696" s="136"/>
      <c r="G696" s="136"/>
      <c r="H696" s="136"/>
      <c r="I696" s="136"/>
      <c r="J696" s="137"/>
    </row>
    <row r="697" ht="15.75" customHeight="1">
      <c r="C697" s="136"/>
      <c r="E697" s="136"/>
      <c r="G697" s="136"/>
      <c r="H697" s="136"/>
      <c r="I697" s="136"/>
      <c r="J697" s="137"/>
    </row>
    <row r="698" ht="15.75" customHeight="1">
      <c r="C698" s="136"/>
      <c r="E698" s="136"/>
      <c r="G698" s="136"/>
      <c r="H698" s="136"/>
      <c r="I698" s="136"/>
      <c r="J698" s="137"/>
    </row>
    <row r="699" ht="15.75" customHeight="1">
      <c r="C699" s="136"/>
      <c r="E699" s="136"/>
      <c r="G699" s="136"/>
      <c r="H699" s="136"/>
      <c r="I699" s="136"/>
      <c r="J699" s="137"/>
    </row>
    <row r="700" ht="15.75" customHeight="1">
      <c r="C700" s="136"/>
      <c r="E700" s="136"/>
      <c r="G700" s="136"/>
      <c r="H700" s="136"/>
      <c r="I700" s="136"/>
      <c r="J700" s="137"/>
    </row>
    <row r="701" ht="15.75" customHeight="1">
      <c r="C701" s="136"/>
      <c r="E701" s="136"/>
      <c r="G701" s="136"/>
      <c r="H701" s="136"/>
      <c r="I701" s="136"/>
      <c r="J701" s="137"/>
    </row>
    <row r="702" ht="15.75" customHeight="1">
      <c r="C702" s="136"/>
      <c r="E702" s="136"/>
      <c r="G702" s="136"/>
      <c r="H702" s="136"/>
      <c r="I702" s="136"/>
      <c r="J702" s="137"/>
    </row>
    <row r="703" ht="15.75" customHeight="1">
      <c r="C703" s="136"/>
      <c r="E703" s="136"/>
      <c r="G703" s="136"/>
      <c r="H703" s="136"/>
      <c r="I703" s="136"/>
      <c r="J703" s="137"/>
    </row>
    <row r="704" ht="15.75" customHeight="1">
      <c r="C704" s="136"/>
      <c r="E704" s="136"/>
      <c r="G704" s="136"/>
      <c r="H704" s="136"/>
      <c r="I704" s="136"/>
      <c r="J704" s="137"/>
    </row>
    <row r="705" ht="15.75" customHeight="1">
      <c r="C705" s="136"/>
      <c r="E705" s="136"/>
      <c r="G705" s="136"/>
      <c r="H705" s="136"/>
      <c r="I705" s="136"/>
      <c r="J705" s="137"/>
    </row>
    <row r="706" ht="15.75" customHeight="1">
      <c r="C706" s="136"/>
      <c r="E706" s="136"/>
      <c r="G706" s="136"/>
      <c r="H706" s="136"/>
      <c r="I706" s="136"/>
      <c r="J706" s="137"/>
    </row>
    <row r="707" ht="15.75" customHeight="1">
      <c r="C707" s="136"/>
      <c r="E707" s="136"/>
      <c r="G707" s="136"/>
      <c r="H707" s="136"/>
      <c r="I707" s="136"/>
      <c r="J707" s="137"/>
    </row>
    <row r="708" ht="15.75" customHeight="1">
      <c r="C708" s="136"/>
      <c r="E708" s="136"/>
      <c r="G708" s="136"/>
      <c r="H708" s="136"/>
      <c r="I708" s="136"/>
      <c r="J708" s="137"/>
    </row>
    <row r="709" ht="15.75" customHeight="1">
      <c r="C709" s="136"/>
      <c r="E709" s="136"/>
      <c r="G709" s="136"/>
      <c r="H709" s="136"/>
      <c r="I709" s="136"/>
      <c r="J709" s="137"/>
    </row>
    <row r="710" ht="15.75" customHeight="1">
      <c r="C710" s="136"/>
      <c r="E710" s="136"/>
      <c r="G710" s="136"/>
      <c r="H710" s="136"/>
      <c r="I710" s="136"/>
      <c r="J710" s="137"/>
    </row>
    <row r="711" ht="15.75" customHeight="1">
      <c r="C711" s="136"/>
      <c r="E711" s="136"/>
      <c r="G711" s="136"/>
      <c r="H711" s="136"/>
      <c r="I711" s="136"/>
      <c r="J711" s="137"/>
    </row>
    <row r="712" ht="15.75" customHeight="1">
      <c r="C712" s="136"/>
      <c r="E712" s="136"/>
      <c r="G712" s="136"/>
      <c r="H712" s="136"/>
      <c r="I712" s="136"/>
      <c r="J712" s="137"/>
    </row>
    <row r="713" ht="15.75" customHeight="1">
      <c r="C713" s="136"/>
      <c r="E713" s="136"/>
      <c r="G713" s="136"/>
      <c r="H713" s="136"/>
      <c r="I713" s="136"/>
      <c r="J713" s="137"/>
    </row>
    <row r="714" ht="15.75" customHeight="1">
      <c r="C714" s="136"/>
      <c r="E714" s="136"/>
      <c r="G714" s="136"/>
      <c r="H714" s="136"/>
      <c r="I714" s="136"/>
      <c r="J714" s="137"/>
    </row>
    <row r="715" ht="15.75" customHeight="1">
      <c r="C715" s="136"/>
      <c r="E715" s="136"/>
      <c r="G715" s="136"/>
      <c r="H715" s="136"/>
      <c r="I715" s="136"/>
      <c r="J715" s="137"/>
    </row>
    <row r="716" ht="15.75" customHeight="1">
      <c r="C716" s="136"/>
      <c r="E716" s="136"/>
      <c r="G716" s="136"/>
      <c r="H716" s="136"/>
      <c r="I716" s="136"/>
      <c r="J716" s="137"/>
    </row>
    <row r="717" ht="15.75" customHeight="1">
      <c r="C717" s="136"/>
      <c r="E717" s="136"/>
      <c r="G717" s="136"/>
      <c r="H717" s="136"/>
      <c r="I717" s="136"/>
      <c r="J717" s="137"/>
    </row>
    <row r="718" ht="15.75" customHeight="1">
      <c r="C718" s="136"/>
      <c r="E718" s="136"/>
      <c r="G718" s="136"/>
      <c r="H718" s="136"/>
      <c r="I718" s="136"/>
      <c r="J718" s="137"/>
    </row>
    <row r="719" ht="15.75" customHeight="1">
      <c r="C719" s="136"/>
      <c r="E719" s="136"/>
      <c r="G719" s="136"/>
      <c r="H719" s="136"/>
      <c r="I719" s="136"/>
      <c r="J719" s="137"/>
    </row>
    <row r="720" ht="15.75" customHeight="1">
      <c r="C720" s="136"/>
      <c r="E720" s="136"/>
      <c r="G720" s="136"/>
      <c r="H720" s="136"/>
      <c r="I720" s="136"/>
      <c r="J720" s="137"/>
    </row>
    <row r="721" ht="15.75" customHeight="1">
      <c r="C721" s="136"/>
      <c r="E721" s="136"/>
      <c r="G721" s="136"/>
      <c r="H721" s="136"/>
      <c r="I721" s="136"/>
      <c r="J721" s="137"/>
    </row>
    <row r="722" ht="15.75" customHeight="1">
      <c r="C722" s="136"/>
      <c r="E722" s="136"/>
      <c r="G722" s="136"/>
      <c r="H722" s="136"/>
      <c r="I722" s="136"/>
      <c r="J722" s="137"/>
    </row>
    <row r="723" ht="15.75" customHeight="1">
      <c r="C723" s="136"/>
      <c r="E723" s="136"/>
      <c r="G723" s="136"/>
      <c r="H723" s="136"/>
      <c r="I723" s="136"/>
      <c r="J723" s="137"/>
    </row>
    <row r="724" ht="15.75" customHeight="1">
      <c r="C724" s="136"/>
      <c r="E724" s="136"/>
      <c r="G724" s="136"/>
      <c r="H724" s="136"/>
      <c r="I724" s="136"/>
      <c r="J724" s="137"/>
    </row>
    <row r="725" ht="15.75" customHeight="1">
      <c r="C725" s="136"/>
      <c r="E725" s="136"/>
      <c r="G725" s="136"/>
      <c r="H725" s="136"/>
      <c r="I725" s="136"/>
      <c r="J725" s="137"/>
    </row>
    <row r="726" ht="15.75" customHeight="1">
      <c r="C726" s="136"/>
      <c r="E726" s="136"/>
      <c r="G726" s="136"/>
      <c r="H726" s="136"/>
      <c r="I726" s="136"/>
      <c r="J726" s="137"/>
    </row>
    <row r="727" ht="15.75" customHeight="1">
      <c r="C727" s="136"/>
      <c r="E727" s="136"/>
      <c r="G727" s="136"/>
      <c r="H727" s="136"/>
      <c r="I727" s="136"/>
      <c r="J727" s="137"/>
    </row>
    <row r="728" ht="15.75" customHeight="1">
      <c r="C728" s="136"/>
      <c r="E728" s="136"/>
      <c r="G728" s="136"/>
      <c r="H728" s="136"/>
      <c r="I728" s="136"/>
      <c r="J728" s="137"/>
    </row>
    <row r="729" ht="15.75" customHeight="1">
      <c r="C729" s="136"/>
      <c r="E729" s="136"/>
      <c r="G729" s="136"/>
      <c r="H729" s="136"/>
      <c r="I729" s="136"/>
      <c r="J729" s="137"/>
    </row>
    <row r="730" ht="15.75" customHeight="1">
      <c r="C730" s="136"/>
      <c r="E730" s="136"/>
      <c r="G730" s="136"/>
      <c r="H730" s="136"/>
      <c r="I730" s="136"/>
      <c r="J730" s="137"/>
    </row>
    <row r="731" ht="15.75" customHeight="1">
      <c r="C731" s="136"/>
      <c r="E731" s="136"/>
      <c r="G731" s="136"/>
      <c r="H731" s="136"/>
      <c r="I731" s="136"/>
      <c r="J731" s="137"/>
    </row>
    <row r="732" ht="15.75" customHeight="1">
      <c r="C732" s="136"/>
      <c r="E732" s="136"/>
      <c r="G732" s="136"/>
      <c r="H732" s="136"/>
      <c r="I732" s="136"/>
      <c r="J732" s="137"/>
    </row>
    <row r="733" ht="15.75" customHeight="1">
      <c r="C733" s="136"/>
      <c r="E733" s="136"/>
      <c r="G733" s="136"/>
      <c r="H733" s="136"/>
      <c r="I733" s="136"/>
      <c r="J733" s="137"/>
    </row>
    <row r="734" ht="15.75" customHeight="1">
      <c r="C734" s="136"/>
      <c r="E734" s="136"/>
      <c r="G734" s="136"/>
      <c r="H734" s="136"/>
      <c r="I734" s="136"/>
      <c r="J734" s="137"/>
    </row>
    <row r="735" ht="15.75" customHeight="1">
      <c r="C735" s="136"/>
      <c r="E735" s="136"/>
      <c r="G735" s="136"/>
      <c r="H735" s="136"/>
      <c r="I735" s="136"/>
      <c r="J735" s="137"/>
    </row>
    <row r="736" ht="15.75" customHeight="1">
      <c r="C736" s="136"/>
      <c r="E736" s="136"/>
      <c r="G736" s="136"/>
      <c r="H736" s="136"/>
      <c r="I736" s="136"/>
      <c r="J736" s="137"/>
    </row>
    <row r="737" ht="15.75" customHeight="1">
      <c r="C737" s="136"/>
      <c r="E737" s="136"/>
      <c r="G737" s="136"/>
      <c r="H737" s="136"/>
      <c r="I737" s="136"/>
      <c r="J737" s="137"/>
    </row>
    <row r="738" ht="15.75" customHeight="1">
      <c r="C738" s="136"/>
      <c r="E738" s="136"/>
      <c r="G738" s="136"/>
      <c r="H738" s="136"/>
      <c r="I738" s="136"/>
      <c r="J738" s="137"/>
    </row>
    <row r="739" ht="15.75" customHeight="1">
      <c r="C739" s="136"/>
      <c r="E739" s="136"/>
      <c r="G739" s="136"/>
      <c r="H739" s="136"/>
      <c r="I739" s="136"/>
      <c r="J739" s="137"/>
    </row>
    <row r="740" ht="15.75" customHeight="1">
      <c r="C740" s="136"/>
      <c r="E740" s="136"/>
      <c r="G740" s="136"/>
      <c r="H740" s="136"/>
      <c r="I740" s="136"/>
      <c r="J740" s="137"/>
    </row>
    <row r="741" ht="15.75" customHeight="1">
      <c r="C741" s="136"/>
      <c r="E741" s="136"/>
      <c r="G741" s="136"/>
      <c r="H741" s="136"/>
      <c r="I741" s="136"/>
      <c r="J741" s="137"/>
    </row>
    <row r="742" ht="15.75" customHeight="1">
      <c r="C742" s="136"/>
      <c r="E742" s="136"/>
      <c r="G742" s="136"/>
      <c r="H742" s="136"/>
      <c r="I742" s="136"/>
      <c r="J742" s="137"/>
    </row>
    <row r="743" ht="15.75" customHeight="1">
      <c r="C743" s="136"/>
      <c r="E743" s="136"/>
      <c r="G743" s="136"/>
      <c r="H743" s="136"/>
      <c r="I743" s="136"/>
      <c r="J743" s="137"/>
    </row>
    <row r="744" ht="15.75" customHeight="1">
      <c r="C744" s="136"/>
      <c r="E744" s="136"/>
      <c r="G744" s="136"/>
      <c r="H744" s="136"/>
      <c r="I744" s="136"/>
      <c r="J744" s="137"/>
    </row>
    <row r="745" ht="15.75" customHeight="1">
      <c r="C745" s="136"/>
      <c r="E745" s="136"/>
      <c r="G745" s="136"/>
      <c r="H745" s="136"/>
      <c r="I745" s="136"/>
      <c r="J745" s="137"/>
    </row>
    <row r="746" ht="15.75" customHeight="1">
      <c r="C746" s="136"/>
      <c r="E746" s="136"/>
      <c r="G746" s="136"/>
      <c r="H746" s="136"/>
      <c r="I746" s="136"/>
      <c r="J746" s="137"/>
    </row>
    <row r="747" ht="15.75" customHeight="1">
      <c r="C747" s="136"/>
      <c r="E747" s="136"/>
      <c r="G747" s="136"/>
      <c r="H747" s="136"/>
      <c r="I747" s="136"/>
      <c r="J747" s="137"/>
    </row>
    <row r="748" ht="15.75" customHeight="1">
      <c r="C748" s="136"/>
      <c r="E748" s="136"/>
      <c r="G748" s="136"/>
      <c r="H748" s="136"/>
      <c r="I748" s="136"/>
      <c r="J748" s="137"/>
    </row>
    <row r="749" ht="15.75" customHeight="1">
      <c r="C749" s="136"/>
      <c r="E749" s="136"/>
      <c r="G749" s="136"/>
      <c r="H749" s="136"/>
      <c r="I749" s="136"/>
      <c r="J749" s="137"/>
    </row>
    <row r="750" ht="15.75" customHeight="1">
      <c r="C750" s="136"/>
      <c r="E750" s="136"/>
      <c r="G750" s="136"/>
      <c r="H750" s="136"/>
      <c r="I750" s="136"/>
      <c r="J750" s="137"/>
    </row>
    <row r="751" ht="15.75" customHeight="1">
      <c r="C751" s="136"/>
      <c r="E751" s="136"/>
      <c r="G751" s="136"/>
      <c r="H751" s="136"/>
      <c r="I751" s="136"/>
      <c r="J751" s="137"/>
    </row>
    <row r="752" ht="15.75" customHeight="1">
      <c r="C752" s="136"/>
      <c r="E752" s="136"/>
      <c r="G752" s="136"/>
      <c r="H752" s="136"/>
      <c r="I752" s="136"/>
      <c r="J752" s="137"/>
    </row>
    <row r="753" ht="15.75" customHeight="1">
      <c r="C753" s="136"/>
      <c r="E753" s="136"/>
      <c r="G753" s="136"/>
      <c r="H753" s="136"/>
      <c r="I753" s="136"/>
      <c r="J753" s="137"/>
    </row>
    <row r="754" ht="15.75" customHeight="1">
      <c r="C754" s="136"/>
      <c r="E754" s="136"/>
      <c r="G754" s="136"/>
      <c r="H754" s="136"/>
      <c r="I754" s="136"/>
      <c r="J754" s="137"/>
    </row>
    <row r="755" ht="15.75" customHeight="1">
      <c r="C755" s="136"/>
      <c r="E755" s="136"/>
      <c r="G755" s="136"/>
      <c r="H755" s="136"/>
      <c r="I755" s="136"/>
      <c r="J755" s="137"/>
    </row>
    <row r="756" ht="15.75" customHeight="1">
      <c r="C756" s="136"/>
      <c r="E756" s="136"/>
      <c r="G756" s="136"/>
      <c r="H756" s="136"/>
      <c r="I756" s="136"/>
      <c r="J756" s="137"/>
    </row>
    <row r="757" ht="15.75" customHeight="1">
      <c r="C757" s="136"/>
      <c r="E757" s="136"/>
      <c r="G757" s="136"/>
      <c r="H757" s="136"/>
      <c r="I757" s="136"/>
      <c r="J757" s="137"/>
    </row>
    <row r="758" ht="15.75" customHeight="1">
      <c r="C758" s="136"/>
      <c r="E758" s="136"/>
      <c r="G758" s="136"/>
      <c r="H758" s="136"/>
      <c r="I758" s="136"/>
      <c r="J758" s="137"/>
    </row>
    <row r="759" ht="15.75" customHeight="1">
      <c r="C759" s="136"/>
      <c r="E759" s="136"/>
      <c r="G759" s="136"/>
      <c r="H759" s="136"/>
      <c r="I759" s="136"/>
      <c r="J759" s="137"/>
    </row>
    <row r="760" ht="15.75" customHeight="1">
      <c r="C760" s="136"/>
      <c r="E760" s="136"/>
      <c r="G760" s="136"/>
      <c r="H760" s="136"/>
      <c r="I760" s="136"/>
      <c r="J760" s="137"/>
    </row>
    <row r="761" ht="15.75" customHeight="1">
      <c r="C761" s="136"/>
      <c r="E761" s="136"/>
      <c r="G761" s="136"/>
      <c r="H761" s="136"/>
      <c r="I761" s="136"/>
      <c r="J761" s="137"/>
    </row>
    <row r="762" ht="15.75" customHeight="1">
      <c r="C762" s="136"/>
      <c r="E762" s="136"/>
      <c r="G762" s="136"/>
      <c r="H762" s="136"/>
      <c r="I762" s="136"/>
      <c r="J762" s="137"/>
    </row>
    <row r="763" ht="15.75" customHeight="1">
      <c r="C763" s="136"/>
      <c r="E763" s="136"/>
      <c r="G763" s="136"/>
      <c r="H763" s="136"/>
      <c r="I763" s="136"/>
      <c r="J763" s="137"/>
    </row>
    <row r="764" ht="15.75" customHeight="1">
      <c r="C764" s="136"/>
      <c r="E764" s="136"/>
      <c r="G764" s="136"/>
      <c r="H764" s="136"/>
      <c r="I764" s="136"/>
      <c r="J764" s="137"/>
    </row>
    <row r="765" ht="15.75" customHeight="1">
      <c r="C765" s="136"/>
      <c r="E765" s="136"/>
      <c r="G765" s="136"/>
      <c r="H765" s="136"/>
      <c r="I765" s="136"/>
      <c r="J765" s="137"/>
    </row>
    <row r="766" ht="15.75" customHeight="1">
      <c r="C766" s="136"/>
      <c r="E766" s="136"/>
      <c r="G766" s="136"/>
      <c r="H766" s="136"/>
      <c r="I766" s="136"/>
      <c r="J766" s="137"/>
    </row>
    <row r="767" ht="15.75" customHeight="1">
      <c r="C767" s="136"/>
      <c r="E767" s="136"/>
      <c r="G767" s="136"/>
      <c r="H767" s="136"/>
      <c r="I767" s="136"/>
      <c r="J767" s="137"/>
    </row>
    <row r="768" ht="15.75" customHeight="1">
      <c r="C768" s="136"/>
      <c r="E768" s="136"/>
      <c r="G768" s="136"/>
      <c r="H768" s="136"/>
      <c r="I768" s="136"/>
      <c r="J768" s="137"/>
    </row>
    <row r="769" ht="15.75" customHeight="1">
      <c r="C769" s="136"/>
      <c r="E769" s="136"/>
      <c r="G769" s="136"/>
      <c r="H769" s="136"/>
      <c r="I769" s="136"/>
      <c r="J769" s="137"/>
    </row>
    <row r="770" ht="15.75" customHeight="1">
      <c r="C770" s="136"/>
      <c r="E770" s="136"/>
      <c r="G770" s="136"/>
      <c r="H770" s="136"/>
      <c r="I770" s="136"/>
      <c r="J770" s="137"/>
    </row>
    <row r="771" ht="15.75" customHeight="1">
      <c r="C771" s="136"/>
      <c r="E771" s="136"/>
      <c r="G771" s="136"/>
      <c r="H771" s="136"/>
      <c r="I771" s="136"/>
      <c r="J771" s="137"/>
    </row>
    <row r="772" ht="15.75" customHeight="1">
      <c r="C772" s="136"/>
      <c r="E772" s="136"/>
      <c r="G772" s="136"/>
      <c r="H772" s="136"/>
      <c r="I772" s="136"/>
      <c r="J772" s="137"/>
    </row>
    <row r="773" ht="15.75" customHeight="1">
      <c r="C773" s="136"/>
      <c r="E773" s="136"/>
      <c r="G773" s="136"/>
      <c r="H773" s="136"/>
      <c r="I773" s="136"/>
      <c r="J773" s="137"/>
    </row>
    <row r="774" ht="15.75" customHeight="1">
      <c r="C774" s="136"/>
      <c r="E774" s="136"/>
      <c r="G774" s="136"/>
      <c r="H774" s="136"/>
      <c r="I774" s="136"/>
      <c r="J774" s="137"/>
    </row>
    <row r="775" ht="15.75" customHeight="1">
      <c r="C775" s="136"/>
      <c r="E775" s="136"/>
      <c r="G775" s="136"/>
      <c r="H775" s="136"/>
      <c r="I775" s="136"/>
      <c r="J775" s="137"/>
    </row>
    <row r="776" ht="15.75" customHeight="1">
      <c r="C776" s="136"/>
      <c r="E776" s="136"/>
      <c r="G776" s="136"/>
      <c r="H776" s="136"/>
      <c r="I776" s="136"/>
      <c r="J776" s="137"/>
    </row>
    <row r="777" ht="15.75" customHeight="1">
      <c r="C777" s="136"/>
      <c r="E777" s="136"/>
      <c r="G777" s="136"/>
      <c r="H777" s="136"/>
      <c r="I777" s="136"/>
      <c r="J777" s="137"/>
    </row>
    <row r="778" ht="15.75" customHeight="1">
      <c r="C778" s="136"/>
      <c r="E778" s="136"/>
      <c r="G778" s="136"/>
      <c r="H778" s="136"/>
      <c r="I778" s="136"/>
      <c r="J778" s="137"/>
    </row>
    <row r="779" ht="15.75" customHeight="1">
      <c r="C779" s="136"/>
      <c r="E779" s="136"/>
      <c r="G779" s="136"/>
      <c r="H779" s="136"/>
      <c r="I779" s="136"/>
      <c r="J779" s="137"/>
    </row>
    <row r="780" ht="15.75" customHeight="1">
      <c r="C780" s="136"/>
      <c r="E780" s="136"/>
      <c r="G780" s="136"/>
      <c r="H780" s="136"/>
      <c r="I780" s="136"/>
      <c r="J780" s="137"/>
    </row>
    <row r="781" ht="15.75" customHeight="1">
      <c r="C781" s="136"/>
      <c r="E781" s="136"/>
      <c r="G781" s="136"/>
      <c r="H781" s="136"/>
      <c r="I781" s="136"/>
      <c r="J781" s="137"/>
    </row>
    <row r="782" ht="15.75" customHeight="1">
      <c r="C782" s="136"/>
      <c r="E782" s="136"/>
      <c r="G782" s="136"/>
      <c r="H782" s="136"/>
      <c r="I782" s="136"/>
      <c r="J782" s="137"/>
    </row>
    <row r="783" ht="15.75" customHeight="1">
      <c r="C783" s="136"/>
      <c r="E783" s="136"/>
      <c r="G783" s="136"/>
      <c r="H783" s="136"/>
      <c r="I783" s="136"/>
      <c r="J783" s="137"/>
    </row>
    <row r="784" ht="15.75" customHeight="1">
      <c r="C784" s="136"/>
      <c r="E784" s="136"/>
      <c r="G784" s="136"/>
      <c r="H784" s="136"/>
      <c r="I784" s="136"/>
      <c r="J784" s="137"/>
    </row>
    <row r="785" ht="15.75" customHeight="1">
      <c r="C785" s="136"/>
      <c r="E785" s="136"/>
      <c r="G785" s="136"/>
      <c r="H785" s="136"/>
      <c r="I785" s="136"/>
      <c r="J785" s="137"/>
    </row>
    <row r="786" ht="15.75" customHeight="1">
      <c r="C786" s="136"/>
      <c r="E786" s="136"/>
      <c r="G786" s="136"/>
      <c r="H786" s="136"/>
      <c r="I786" s="136"/>
      <c r="J786" s="137"/>
    </row>
    <row r="787" ht="15.75" customHeight="1">
      <c r="C787" s="136"/>
      <c r="E787" s="136"/>
      <c r="G787" s="136"/>
      <c r="H787" s="136"/>
      <c r="I787" s="136"/>
      <c r="J787" s="137"/>
    </row>
    <row r="788" ht="15.75" customHeight="1">
      <c r="C788" s="136"/>
      <c r="E788" s="136"/>
      <c r="G788" s="136"/>
      <c r="H788" s="136"/>
      <c r="I788" s="136"/>
      <c r="J788" s="137"/>
    </row>
    <row r="789" ht="15.75" customHeight="1">
      <c r="C789" s="136"/>
      <c r="E789" s="136"/>
      <c r="G789" s="136"/>
      <c r="H789" s="136"/>
      <c r="I789" s="136"/>
      <c r="J789" s="137"/>
    </row>
    <row r="790" ht="15.75" customHeight="1">
      <c r="C790" s="136"/>
      <c r="E790" s="136"/>
      <c r="G790" s="136"/>
      <c r="H790" s="136"/>
      <c r="I790" s="136"/>
      <c r="J790" s="137"/>
    </row>
    <row r="791" ht="15.75" customHeight="1">
      <c r="C791" s="136"/>
      <c r="E791" s="136"/>
      <c r="G791" s="136"/>
      <c r="H791" s="136"/>
      <c r="I791" s="136"/>
      <c r="J791" s="137"/>
    </row>
    <row r="792" ht="15.75" customHeight="1">
      <c r="C792" s="136"/>
      <c r="E792" s="136"/>
      <c r="G792" s="136"/>
      <c r="H792" s="136"/>
      <c r="I792" s="136"/>
      <c r="J792" s="137"/>
    </row>
    <row r="793" ht="15.75" customHeight="1">
      <c r="C793" s="136"/>
      <c r="E793" s="136"/>
      <c r="G793" s="136"/>
      <c r="H793" s="136"/>
      <c r="I793" s="136"/>
      <c r="J793" s="137"/>
    </row>
    <row r="794" ht="15.75" customHeight="1">
      <c r="C794" s="136"/>
      <c r="E794" s="136"/>
      <c r="G794" s="136"/>
      <c r="H794" s="136"/>
      <c r="I794" s="136"/>
      <c r="J794" s="137"/>
    </row>
    <row r="795" ht="15.75" customHeight="1">
      <c r="C795" s="136"/>
      <c r="E795" s="136"/>
      <c r="G795" s="136"/>
      <c r="H795" s="136"/>
      <c r="I795" s="136"/>
      <c r="J795" s="137"/>
    </row>
    <row r="796" ht="15.75" customHeight="1">
      <c r="C796" s="136"/>
      <c r="E796" s="136"/>
      <c r="G796" s="136"/>
      <c r="H796" s="136"/>
      <c r="I796" s="136"/>
      <c r="J796" s="137"/>
    </row>
    <row r="797" ht="15.75" customHeight="1">
      <c r="C797" s="136"/>
      <c r="E797" s="136"/>
      <c r="G797" s="136"/>
      <c r="H797" s="136"/>
      <c r="I797" s="136"/>
      <c r="J797" s="137"/>
    </row>
    <row r="798" ht="15.75" customHeight="1">
      <c r="C798" s="136"/>
      <c r="E798" s="136"/>
      <c r="G798" s="136"/>
      <c r="H798" s="136"/>
      <c r="I798" s="136"/>
      <c r="J798" s="137"/>
    </row>
    <row r="799" ht="15.75" customHeight="1">
      <c r="C799" s="136"/>
      <c r="E799" s="136"/>
      <c r="G799" s="136"/>
      <c r="H799" s="136"/>
      <c r="I799" s="136"/>
      <c r="J799" s="137"/>
    </row>
    <row r="800" ht="15.75" customHeight="1">
      <c r="C800" s="136"/>
      <c r="E800" s="136"/>
      <c r="G800" s="136"/>
      <c r="H800" s="136"/>
      <c r="I800" s="136"/>
      <c r="J800" s="137"/>
    </row>
    <row r="801" ht="15.75" customHeight="1">
      <c r="C801" s="136"/>
      <c r="E801" s="136"/>
      <c r="G801" s="136"/>
      <c r="H801" s="136"/>
      <c r="I801" s="136"/>
      <c r="J801" s="137"/>
    </row>
    <row r="802" ht="15.75" customHeight="1">
      <c r="C802" s="136"/>
      <c r="E802" s="136"/>
      <c r="G802" s="136"/>
      <c r="H802" s="136"/>
      <c r="I802" s="136"/>
      <c r="J802" s="137"/>
    </row>
    <row r="803" ht="15.75" customHeight="1">
      <c r="C803" s="136"/>
      <c r="E803" s="136"/>
      <c r="G803" s="136"/>
      <c r="H803" s="136"/>
      <c r="I803" s="136"/>
      <c r="J803" s="137"/>
    </row>
    <row r="804" ht="15.75" customHeight="1">
      <c r="C804" s="136"/>
      <c r="E804" s="136"/>
      <c r="G804" s="136"/>
      <c r="H804" s="136"/>
      <c r="I804" s="136"/>
      <c r="J804" s="137"/>
    </row>
    <row r="805" ht="15.75" customHeight="1">
      <c r="C805" s="136"/>
      <c r="E805" s="136"/>
      <c r="G805" s="136"/>
      <c r="H805" s="136"/>
      <c r="I805" s="136"/>
      <c r="J805" s="137"/>
    </row>
    <row r="806" ht="15.75" customHeight="1">
      <c r="C806" s="136"/>
      <c r="E806" s="136"/>
      <c r="G806" s="136"/>
      <c r="H806" s="136"/>
      <c r="I806" s="136"/>
      <c r="J806" s="137"/>
    </row>
    <row r="807" ht="15.75" customHeight="1">
      <c r="C807" s="136"/>
      <c r="E807" s="136"/>
      <c r="G807" s="136"/>
      <c r="H807" s="136"/>
      <c r="I807" s="136"/>
      <c r="J807" s="137"/>
    </row>
    <row r="808" ht="15.75" customHeight="1">
      <c r="C808" s="136"/>
      <c r="E808" s="136"/>
      <c r="G808" s="136"/>
      <c r="H808" s="136"/>
      <c r="I808" s="136"/>
      <c r="J808" s="137"/>
    </row>
    <row r="809" ht="15.75" customHeight="1">
      <c r="C809" s="136"/>
      <c r="E809" s="136"/>
      <c r="G809" s="136"/>
      <c r="H809" s="136"/>
      <c r="I809" s="136"/>
      <c r="J809" s="137"/>
    </row>
    <row r="810" ht="15.75" customHeight="1">
      <c r="C810" s="136"/>
      <c r="E810" s="136"/>
      <c r="G810" s="136"/>
      <c r="H810" s="136"/>
      <c r="I810" s="136"/>
      <c r="J810" s="137"/>
    </row>
    <row r="811" ht="15.75" customHeight="1">
      <c r="C811" s="136"/>
      <c r="E811" s="136"/>
      <c r="G811" s="136"/>
      <c r="H811" s="136"/>
      <c r="I811" s="136"/>
      <c r="J811" s="137"/>
    </row>
    <row r="812" ht="15.75" customHeight="1">
      <c r="C812" s="136"/>
      <c r="E812" s="136"/>
      <c r="G812" s="136"/>
      <c r="H812" s="136"/>
      <c r="I812" s="136"/>
      <c r="J812" s="137"/>
    </row>
    <row r="813" ht="15.75" customHeight="1">
      <c r="C813" s="136"/>
      <c r="E813" s="136"/>
      <c r="G813" s="136"/>
      <c r="H813" s="136"/>
      <c r="I813" s="136"/>
      <c r="J813" s="137"/>
    </row>
    <row r="814" ht="15.75" customHeight="1">
      <c r="C814" s="136"/>
      <c r="E814" s="136"/>
      <c r="G814" s="136"/>
      <c r="H814" s="136"/>
      <c r="I814" s="136"/>
      <c r="J814" s="137"/>
    </row>
    <row r="815" ht="15.75" customHeight="1">
      <c r="C815" s="136"/>
      <c r="E815" s="136"/>
      <c r="G815" s="136"/>
      <c r="H815" s="136"/>
      <c r="I815" s="136"/>
      <c r="J815" s="137"/>
    </row>
    <row r="816" ht="15.75" customHeight="1">
      <c r="C816" s="136"/>
      <c r="E816" s="136"/>
      <c r="G816" s="136"/>
      <c r="H816" s="136"/>
      <c r="I816" s="136"/>
      <c r="J816" s="137"/>
    </row>
    <row r="817" ht="15.75" customHeight="1">
      <c r="C817" s="136"/>
      <c r="E817" s="136"/>
      <c r="G817" s="136"/>
      <c r="H817" s="136"/>
      <c r="I817" s="136"/>
      <c r="J817" s="137"/>
    </row>
    <row r="818" ht="15.75" customHeight="1">
      <c r="C818" s="136"/>
      <c r="E818" s="136"/>
      <c r="G818" s="136"/>
      <c r="H818" s="136"/>
      <c r="I818" s="136"/>
      <c r="J818" s="137"/>
    </row>
    <row r="819" ht="15.75" customHeight="1">
      <c r="C819" s="136"/>
      <c r="E819" s="136"/>
      <c r="G819" s="136"/>
      <c r="H819" s="136"/>
      <c r="I819" s="136"/>
      <c r="J819" s="137"/>
    </row>
    <row r="820" ht="15.75" customHeight="1">
      <c r="C820" s="136"/>
      <c r="E820" s="136"/>
      <c r="G820" s="136"/>
      <c r="H820" s="136"/>
      <c r="I820" s="136"/>
      <c r="J820" s="137"/>
    </row>
    <row r="821" ht="15.75" customHeight="1">
      <c r="C821" s="136"/>
      <c r="E821" s="136"/>
      <c r="G821" s="136"/>
      <c r="H821" s="136"/>
      <c r="I821" s="136"/>
      <c r="J821" s="137"/>
    </row>
    <row r="822" ht="15.75" customHeight="1">
      <c r="C822" s="136"/>
      <c r="E822" s="136"/>
      <c r="G822" s="136"/>
      <c r="H822" s="136"/>
      <c r="I822" s="136"/>
      <c r="J822" s="137"/>
    </row>
    <row r="823" ht="15.75" customHeight="1">
      <c r="C823" s="136"/>
      <c r="E823" s="136"/>
      <c r="G823" s="136"/>
      <c r="H823" s="136"/>
      <c r="I823" s="136"/>
      <c r="J823" s="137"/>
    </row>
    <row r="824" ht="15.75" customHeight="1">
      <c r="C824" s="136"/>
      <c r="E824" s="136"/>
      <c r="G824" s="136"/>
      <c r="H824" s="136"/>
      <c r="I824" s="136"/>
      <c r="J824" s="137"/>
    </row>
    <row r="825" ht="15.75" customHeight="1">
      <c r="C825" s="136"/>
      <c r="E825" s="136"/>
      <c r="G825" s="136"/>
      <c r="H825" s="136"/>
      <c r="I825" s="136"/>
      <c r="J825" s="137"/>
    </row>
    <row r="826" ht="15.75" customHeight="1">
      <c r="C826" s="136"/>
      <c r="E826" s="136"/>
      <c r="G826" s="136"/>
      <c r="H826" s="136"/>
      <c r="I826" s="136"/>
      <c r="J826" s="137"/>
    </row>
    <row r="827" ht="15.75" customHeight="1">
      <c r="C827" s="136"/>
      <c r="E827" s="136"/>
      <c r="G827" s="136"/>
      <c r="H827" s="136"/>
      <c r="I827" s="136"/>
      <c r="J827" s="137"/>
    </row>
    <row r="828" ht="15.75" customHeight="1">
      <c r="C828" s="136"/>
      <c r="E828" s="136"/>
      <c r="G828" s="136"/>
      <c r="H828" s="136"/>
      <c r="I828" s="136"/>
      <c r="J828" s="137"/>
    </row>
    <row r="829" ht="15.75" customHeight="1">
      <c r="C829" s="136"/>
      <c r="E829" s="136"/>
      <c r="G829" s="136"/>
      <c r="H829" s="136"/>
      <c r="I829" s="136"/>
      <c r="J829" s="137"/>
    </row>
    <row r="830" ht="15.75" customHeight="1">
      <c r="C830" s="136"/>
      <c r="E830" s="136"/>
      <c r="G830" s="136"/>
      <c r="H830" s="136"/>
      <c r="I830" s="136"/>
      <c r="J830" s="137"/>
    </row>
    <row r="831" ht="15.75" customHeight="1">
      <c r="C831" s="136"/>
      <c r="E831" s="136"/>
      <c r="G831" s="136"/>
      <c r="H831" s="136"/>
      <c r="I831" s="136"/>
      <c r="J831" s="137"/>
    </row>
    <row r="832" ht="15.75" customHeight="1">
      <c r="C832" s="136"/>
      <c r="E832" s="136"/>
      <c r="G832" s="136"/>
      <c r="H832" s="136"/>
      <c r="I832" s="136"/>
      <c r="J832" s="137"/>
    </row>
    <row r="833" ht="15.75" customHeight="1">
      <c r="C833" s="136"/>
      <c r="E833" s="136"/>
      <c r="G833" s="136"/>
      <c r="H833" s="136"/>
      <c r="I833" s="136"/>
      <c r="J833" s="137"/>
    </row>
    <row r="834" ht="15.75" customHeight="1">
      <c r="C834" s="136"/>
      <c r="E834" s="136"/>
      <c r="G834" s="136"/>
      <c r="H834" s="136"/>
      <c r="I834" s="136"/>
      <c r="J834" s="137"/>
    </row>
    <row r="835" ht="15.75" customHeight="1">
      <c r="C835" s="136"/>
      <c r="E835" s="136"/>
      <c r="G835" s="136"/>
      <c r="H835" s="136"/>
      <c r="I835" s="136"/>
      <c r="J835" s="137"/>
    </row>
    <row r="836" ht="15.75" customHeight="1">
      <c r="C836" s="136"/>
      <c r="E836" s="136"/>
      <c r="G836" s="136"/>
      <c r="H836" s="136"/>
      <c r="I836" s="136"/>
      <c r="J836" s="137"/>
    </row>
    <row r="837" ht="15.75" customHeight="1">
      <c r="C837" s="136"/>
      <c r="E837" s="136"/>
      <c r="G837" s="136"/>
      <c r="H837" s="136"/>
      <c r="I837" s="136"/>
      <c r="J837" s="137"/>
    </row>
    <row r="838" ht="15.75" customHeight="1">
      <c r="C838" s="136"/>
      <c r="E838" s="136"/>
      <c r="G838" s="136"/>
      <c r="H838" s="136"/>
      <c r="I838" s="136"/>
      <c r="J838" s="137"/>
    </row>
    <row r="839" ht="15.75" customHeight="1">
      <c r="C839" s="136"/>
      <c r="E839" s="136"/>
      <c r="G839" s="136"/>
      <c r="H839" s="136"/>
      <c r="I839" s="136"/>
      <c r="J839" s="137"/>
    </row>
    <row r="840" ht="15.75" customHeight="1">
      <c r="C840" s="136"/>
      <c r="E840" s="136"/>
      <c r="G840" s="136"/>
      <c r="H840" s="136"/>
      <c r="I840" s="136"/>
      <c r="J840" s="137"/>
    </row>
    <row r="841" ht="15.75" customHeight="1">
      <c r="C841" s="136"/>
      <c r="E841" s="136"/>
      <c r="G841" s="136"/>
      <c r="H841" s="136"/>
      <c r="I841" s="136"/>
      <c r="J841" s="137"/>
    </row>
    <row r="842" ht="15.75" customHeight="1">
      <c r="C842" s="136"/>
      <c r="E842" s="136"/>
      <c r="G842" s="136"/>
      <c r="H842" s="136"/>
      <c r="I842" s="136"/>
      <c r="J842" s="137"/>
    </row>
    <row r="843" ht="15.75" customHeight="1">
      <c r="C843" s="136"/>
      <c r="E843" s="136"/>
      <c r="G843" s="136"/>
      <c r="H843" s="136"/>
      <c r="I843" s="136"/>
      <c r="J843" s="137"/>
    </row>
    <row r="844" ht="15.75" customHeight="1">
      <c r="C844" s="136"/>
      <c r="E844" s="136"/>
      <c r="G844" s="136"/>
      <c r="H844" s="136"/>
      <c r="I844" s="136"/>
      <c r="J844" s="137"/>
    </row>
    <row r="845" ht="15.75" customHeight="1">
      <c r="C845" s="136"/>
      <c r="E845" s="136"/>
      <c r="G845" s="136"/>
      <c r="H845" s="136"/>
      <c r="I845" s="136"/>
      <c r="J845" s="137"/>
    </row>
    <row r="846" ht="15.75" customHeight="1">
      <c r="C846" s="136"/>
      <c r="E846" s="136"/>
      <c r="G846" s="136"/>
      <c r="H846" s="136"/>
      <c r="I846" s="136"/>
      <c r="J846" s="137"/>
    </row>
    <row r="847" ht="15.75" customHeight="1">
      <c r="C847" s="136"/>
      <c r="E847" s="136"/>
      <c r="G847" s="136"/>
      <c r="H847" s="136"/>
      <c r="I847" s="136"/>
      <c r="J847" s="137"/>
    </row>
    <row r="848" ht="15.75" customHeight="1">
      <c r="C848" s="136"/>
      <c r="E848" s="136"/>
      <c r="G848" s="136"/>
      <c r="H848" s="136"/>
      <c r="I848" s="136"/>
      <c r="J848" s="137"/>
    </row>
    <row r="849" ht="15.75" customHeight="1">
      <c r="C849" s="136"/>
      <c r="E849" s="136"/>
      <c r="G849" s="136"/>
      <c r="H849" s="136"/>
      <c r="I849" s="136"/>
      <c r="J849" s="137"/>
    </row>
    <row r="850" ht="15.75" customHeight="1">
      <c r="C850" s="136"/>
      <c r="E850" s="136"/>
      <c r="G850" s="136"/>
      <c r="H850" s="136"/>
      <c r="I850" s="136"/>
      <c r="J850" s="137"/>
    </row>
    <row r="851" ht="15.75" customHeight="1">
      <c r="C851" s="136"/>
      <c r="E851" s="136"/>
      <c r="G851" s="136"/>
      <c r="H851" s="136"/>
      <c r="I851" s="136"/>
      <c r="J851" s="137"/>
    </row>
    <row r="852" ht="15.75" customHeight="1">
      <c r="C852" s="136"/>
      <c r="E852" s="136"/>
      <c r="G852" s="136"/>
      <c r="H852" s="136"/>
      <c r="I852" s="136"/>
      <c r="J852" s="137"/>
    </row>
    <row r="853" ht="15.75" customHeight="1">
      <c r="C853" s="136"/>
      <c r="E853" s="136"/>
      <c r="G853" s="136"/>
      <c r="H853" s="136"/>
      <c r="I853" s="136"/>
      <c r="J853" s="137"/>
    </row>
    <row r="854" ht="15.75" customHeight="1">
      <c r="C854" s="136"/>
      <c r="E854" s="136"/>
      <c r="G854" s="136"/>
      <c r="H854" s="136"/>
      <c r="I854" s="136"/>
      <c r="J854" s="137"/>
    </row>
    <row r="855" ht="15.75" customHeight="1">
      <c r="C855" s="136"/>
      <c r="E855" s="136"/>
      <c r="G855" s="136"/>
      <c r="H855" s="136"/>
      <c r="I855" s="136"/>
      <c r="J855" s="137"/>
    </row>
    <row r="856" ht="15.75" customHeight="1">
      <c r="C856" s="136"/>
      <c r="E856" s="136"/>
      <c r="G856" s="136"/>
      <c r="H856" s="136"/>
      <c r="I856" s="136"/>
      <c r="J856" s="137"/>
    </row>
    <row r="857" ht="15.75" customHeight="1">
      <c r="C857" s="136"/>
      <c r="E857" s="136"/>
      <c r="G857" s="136"/>
      <c r="H857" s="136"/>
      <c r="I857" s="136"/>
      <c r="J857" s="137"/>
    </row>
    <row r="858" ht="15.75" customHeight="1">
      <c r="C858" s="136"/>
      <c r="E858" s="136"/>
      <c r="G858" s="136"/>
      <c r="H858" s="136"/>
      <c r="I858" s="136"/>
      <c r="J858" s="137"/>
    </row>
    <row r="859" ht="15.75" customHeight="1">
      <c r="C859" s="136"/>
      <c r="E859" s="136"/>
      <c r="G859" s="136"/>
      <c r="H859" s="136"/>
      <c r="I859" s="136"/>
      <c r="J859" s="137"/>
    </row>
    <row r="860" ht="15.75" customHeight="1">
      <c r="C860" s="136"/>
      <c r="E860" s="136"/>
      <c r="G860" s="136"/>
      <c r="H860" s="136"/>
      <c r="I860" s="136"/>
      <c r="J860" s="137"/>
    </row>
    <row r="861" ht="15.75" customHeight="1">
      <c r="C861" s="136"/>
      <c r="E861" s="136"/>
      <c r="G861" s="136"/>
      <c r="H861" s="136"/>
      <c r="I861" s="136"/>
      <c r="J861" s="137"/>
    </row>
    <row r="862" ht="15.75" customHeight="1">
      <c r="C862" s="136"/>
      <c r="E862" s="136"/>
      <c r="G862" s="136"/>
      <c r="H862" s="136"/>
      <c r="I862" s="136"/>
      <c r="J862" s="137"/>
    </row>
    <row r="863" ht="15.75" customHeight="1">
      <c r="C863" s="136"/>
      <c r="E863" s="136"/>
      <c r="G863" s="136"/>
      <c r="H863" s="136"/>
      <c r="I863" s="136"/>
      <c r="J863" s="137"/>
    </row>
    <row r="864" ht="15.75" customHeight="1">
      <c r="C864" s="136"/>
      <c r="E864" s="136"/>
      <c r="G864" s="136"/>
      <c r="H864" s="136"/>
      <c r="I864" s="136"/>
      <c r="J864" s="137"/>
    </row>
    <row r="865" ht="15.75" customHeight="1">
      <c r="C865" s="136"/>
      <c r="E865" s="136"/>
      <c r="G865" s="136"/>
      <c r="H865" s="136"/>
      <c r="I865" s="136"/>
      <c r="J865" s="137"/>
    </row>
    <row r="866" ht="15.75" customHeight="1">
      <c r="C866" s="136"/>
      <c r="E866" s="136"/>
      <c r="G866" s="136"/>
      <c r="H866" s="136"/>
      <c r="I866" s="136"/>
      <c r="J866" s="137"/>
    </row>
    <row r="867" ht="15.75" customHeight="1">
      <c r="C867" s="136"/>
      <c r="E867" s="136"/>
      <c r="G867" s="136"/>
      <c r="H867" s="136"/>
      <c r="I867" s="136"/>
      <c r="J867" s="137"/>
    </row>
    <row r="868" ht="15.75" customHeight="1">
      <c r="C868" s="136"/>
      <c r="E868" s="136"/>
      <c r="G868" s="136"/>
      <c r="H868" s="136"/>
      <c r="I868" s="136"/>
      <c r="J868" s="137"/>
    </row>
    <row r="869" ht="15.75" customHeight="1">
      <c r="C869" s="136"/>
      <c r="E869" s="136"/>
      <c r="G869" s="136"/>
      <c r="H869" s="136"/>
      <c r="I869" s="136"/>
      <c r="J869" s="137"/>
    </row>
    <row r="870" ht="15.75" customHeight="1">
      <c r="C870" s="136"/>
      <c r="E870" s="136"/>
      <c r="G870" s="136"/>
      <c r="H870" s="136"/>
      <c r="I870" s="136"/>
      <c r="J870" s="137"/>
    </row>
    <row r="871" ht="15.75" customHeight="1">
      <c r="C871" s="136"/>
      <c r="E871" s="136"/>
      <c r="G871" s="136"/>
      <c r="H871" s="136"/>
      <c r="I871" s="136"/>
      <c r="J871" s="137"/>
    </row>
    <row r="872" ht="15.75" customHeight="1">
      <c r="C872" s="136"/>
      <c r="E872" s="136"/>
      <c r="G872" s="136"/>
      <c r="H872" s="136"/>
      <c r="I872" s="136"/>
      <c r="J872" s="137"/>
    </row>
    <row r="873" ht="15.75" customHeight="1">
      <c r="C873" s="136"/>
      <c r="E873" s="136"/>
      <c r="G873" s="136"/>
      <c r="H873" s="136"/>
      <c r="I873" s="136"/>
      <c r="J873" s="137"/>
    </row>
    <row r="874" ht="15.75" customHeight="1">
      <c r="C874" s="136"/>
      <c r="E874" s="136"/>
      <c r="G874" s="136"/>
      <c r="H874" s="136"/>
      <c r="I874" s="136"/>
      <c r="J874" s="137"/>
    </row>
    <row r="875" ht="15.75" customHeight="1">
      <c r="C875" s="136"/>
      <c r="E875" s="136"/>
      <c r="G875" s="136"/>
      <c r="H875" s="136"/>
      <c r="I875" s="136"/>
      <c r="J875" s="137"/>
    </row>
    <row r="876" ht="15.75" customHeight="1">
      <c r="C876" s="136"/>
      <c r="E876" s="136"/>
      <c r="G876" s="136"/>
      <c r="H876" s="136"/>
      <c r="I876" s="136"/>
      <c r="J876" s="137"/>
    </row>
    <row r="877" ht="15.75" customHeight="1">
      <c r="C877" s="136"/>
      <c r="E877" s="136"/>
      <c r="G877" s="136"/>
      <c r="H877" s="136"/>
      <c r="I877" s="136"/>
      <c r="J877" s="137"/>
    </row>
    <row r="878" ht="15.75" customHeight="1">
      <c r="C878" s="136"/>
      <c r="E878" s="136"/>
      <c r="G878" s="136"/>
      <c r="H878" s="136"/>
      <c r="I878" s="136"/>
      <c r="J878" s="137"/>
    </row>
    <row r="879" ht="15.75" customHeight="1">
      <c r="C879" s="136"/>
      <c r="E879" s="136"/>
      <c r="G879" s="136"/>
      <c r="H879" s="136"/>
      <c r="I879" s="136"/>
      <c r="J879" s="137"/>
    </row>
    <row r="880" ht="15.75" customHeight="1">
      <c r="C880" s="136"/>
      <c r="E880" s="136"/>
      <c r="G880" s="136"/>
      <c r="H880" s="136"/>
      <c r="I880" s="136"/>
      <c r="J880" s="137"/>
    </row>
    <row r="881" ht="15.75" customHeight="1">
      <c r="C881" s="136"/>
      <c r="E881" s="136"/>
      <c r="G881" s="136"/>
      <c r="H881" s="136"/>
      <c r="I881" s="136"/>
      <c r="J881" s="137"/>
    </row>
    <row r="882" ht="15.75" customHeight="1">
      <c r="C882" s="136"/>
      <c r="E882" s="136"/>
      <c r="G882" s="136"/>
      <c r="H882" s="136"/>
      <c r="I882" s="136"/>
      <c r="J882" s="137"/>
    </row>
    <row r="883" ht="15.75" customHeight="1">
      <c r="C883" s="136"/>
      <c r="E883" s="136"/>
      <c r="G883" s="136"/>
      <c r="H883" s="136"/>
      <c r="I883" s="136"/>
      <c r="J883" s="137"/>
    </row>
    <row r="884" ht="15.75" customHeight="1">
      <c r="C884" s="136"/>
      <c r="E884" s="136"/>
      <c r="G884" s="136"/>
      <c r="H884" s="136"/>
      <c r="I884" s="136"/>
      <c r="J884" s="137"/>
    </row>
    <row r="885" ht="15.75" customHeight="1">
      <c r="C885" s="136"/>
      <c r="E885" s="136"/>
      <c r="G885" s="136"/>
      <c r="H885" s="136"/>
      <c r="I885" s="136"/>
      <c r="J885" s="137"/>
    </row>
    <row r="886" ht="15.75" customHeight="1">
      <c r="C886" s="136"/>
      <c r="E886" s="136"/>
      <c r="G886" s="136"/>
      <c r="H886" s="136"/>
      <c r="I886" s="136"/>
      <c r="J886" s="137"/>
    </row>
    <row r="887" ht="15.75" customHeight="1">
      <c r="C887" s="136"/>
      <c r="E887" s="136"/>
      <c r="G887" s="136"/>
      <c r="H887" s="136"/>
      <c r="I887" s="136"/>
      <c r="J887" s="137"/>
    </row>
    <row r="888" ht="15.75" customHeight="1">
      <c r="C888" s="136"/>
      <c r="E888" s="136"/>
      <c r="G888" s="136"/>
      <c r="H888" s="136"/>
      <c r="I888" s="136"/>
      <c r="J888" s="137"/>
    </row>
    <row r="889" ht="15.75" customHeight="1">
      <c r="C889" s="136"/>
      <c r="E889" s="136"/>
      <c r="G889" s="136"/>
      <c r="H889" s="136"/>
      <c r="I889" s="136"/>
      <c r="J889" s="137"/>
    </row>
    <row r="890" ht="15.75" customHeight="1">
      <c r="C890" s="136"/>
      <c r="E890" s="136"/>
      <c r="G890" s="136"/>
      <c r="H890" s="136"/>
      <c r="I890" s="136"/>
      <c r="J890" s="137"/>
    </row>
    <row r="891" ht="15.75" customHeight="1">
      <c r="C891" s="136"/>
      <c r="E891" s="136"/>
      <c r="G891" s="136"/>
      <c r="H891" s="136"/>
      <c r="I891" s="136"/>
      <c r="J891" s="137"/>
    </row>
    <row r="892" ht="15.75" customHeight="1">
      <c r="C892" s="136"/>
      <c r="E892" s="136"/>
      <c r="G892" s="136"/>
      <c r="H892" s="136"/>
      <c r="I892" s="136"/>
      <c r="J892" s="137"/>
    </row>
    <row r="893" ht="15.75" customHeight="1">
      <c r="C893" s="136"/>
      <c r="E893" s="136"/>
      <c r="G893" s="136"/>
      <c r="H893" s="136"/>
      <c r="I893" s="136"/>
      <c r="J893" s="137"/>
    </row>
    <row r="894" ht="15.75" customHeight="1">
      <c r="C894" s="136"/>
      <c r="E894" s="136"/>
      <c r="G894" s="136"/>
      <c r="H894" s="136"/>
      <c r="I894" s="136"/>
      <c r="J894" s="137"/>
    </row>
    <row r="895" ht="15.75" customHeight="1">
      <c r="C895" s="136"/>
      <c r="E895" s="136"/>
      <c r="G895" s="136"/>
      <c r="H895" s="136"/>
      <c r="I895" s="136"/>
      <c r="J895" s="137"/>
    </row>
    <row r="896" ht="15.75" customHeight="1">
      <c r="C896" s="136"/>
      <c r="E896" s="136"/>
      <c r="G896" s="136"/>
      <c r="H896" s="136"/>
      <c r="I896" s="136"/>
      <c r="J896" s="137"/>
    </row>
    <row r="897" ht="15.75" customHeight="1">
      <c r="C897" s="136"/>
      <c r="E897" s="136"/>
      <c r="G897" s="136"/>
      <c r="H897" s="136"/>
      <c r="I897" s="136"/>
      <c r="J897" s="137"/>
    </row>
    <row r="898" ht="15.75" customHeight="1">
      <c r="C898" s="136"/>
      <c r="E898" s="136"/>
      <c r="G898" s="136"/>
      <c r="H898" s="136"/>
      <c r="I898" s="136"/>
      <c r="J898" s="137"/>
    </row>
    <row r="899" ht="15.75" customHeight="1">
      <c r="C899" s="136"/>
      <c r="E899" s="136"/>
      <c r="G899" s="136"/>
      <c r="H899" s="136"/>
      <c r="I899" s="136"/>
      <c r="J899" s="137"/>
    </row>
    <row r="900" ht="15.75" customHeight="1">
      <c r="C900" s="136"/>
      <c r="E900" s="136"/>
      <c r="G900" s="136"/>
      <c r="H900" s="136"/>
      <c r="I900" s="136"/>
      <c r="J900" s="137"/>
    </row>
    <row r="901" ht="15.75" customHeight="1">
      <c r="C901" s="136"/>
      <c r="E901" s="136"/>
      <c r="G901" s="136"/>
      <c r="H901" s="136"/>
      <c r="I901" s="136"/>
      <c r="J901" s="137"/>
    </row>
    <row r="902" ht="15.75" customHeight="1">
      <c r="C902" s="136"/>
      <c r="E902" s="136"/>
      <c r="G902" s="136"/>
      <c r="H902" s="136"/>
      <c r="I902" s="136"/>
      <c r="J902" s="137"/>
    </row>
    <row r="903" ht="15.75" customHeight="1">
      <c r="C903" s="136"/>
      <c r="E903" s="136"/>
      <c r="G903" s="136"/>
      <c r="H903" s="136"/>
      <c r="I903" s="136"/>
      <c r="J903" s="137"/>
    </row>
    <row r="904" ht="15.75" customHeight="1">
      <c r="C904" s="136"/>
      <c r="E904" s="136"/>
      <c r="G904" s="136"/>
      <c r="H904" s="136"/>
      <c r="I904" s="136"/>
      <c r="J904" s="137"/>
    </row>
    <row r="905" ht="15.75" customHeight="1">
      <c r="C905" s="136"/>
      <c r="E905" s="136"/>
      <c r="G905" s="136"/>
      <c r="H905" s="136"/>
      <c r="I905" s="136"/>
      <c r="J905" s="137"/>
    </row>
    <row r="906" ht="15.75" customHeight="1">
      <c r="C906" s="136"/>
      <c r="E906" s="136"/>
      <c r="G906" s="136"/>
      <c r="H906" s="136"/>
      <c r="I906" s="136"/>
      <c r="J906" s="137"/>
    </row>
    <row r="907" ht="15.75" customHeight="1">
      <c r="C907" s="136"/>
      <c r="E907" s="136"/>
      <c r="G907" s="136"/>
      <c r="H907" s="136"/>
      <c r="I907" s="136"/>
      <c r="J907" s="137"/>
    </row>
    <row r="908" ht="15.75" customHeight="1">
      <c r="C908" s="136"/>
      <c r="E908" s="136"/>
      <c r="G908" s="136"/>
      <c r="H908" s="136"/>
      <c r="I908" s="136"/>
      <c r="J908" s="137"/>
    </row>
    <row r="909" ht="15.75" customHeight="1">
      <c r="C909" s="136"/>
      <c r="E909" s="136"/>
      <c r="G909" s="136"/>
      <c r="H909" s="136"/>
      <c r="I909" s="136"/>
      <c r="J909" s="137"/>
    </row>
    <row r="910" ht="15.75" customHeight="1">
      <c r="C910" s="136"/>
      <c r="E910" s="136"/>
      <c r="G910" s="136"/>
      <c r="H910" s="136"/>
      <c r="I910" s="136"/>
      <c r="J910" s="137"/>
    </row>
    <row r="911" ht="15.75" customHeight="1">
      <c r="C911" s="136"/>
      <c r="E911" s="136"/>
      <c r="G911" s="136"/>
      <c r="H911" s="136"/>
      <c r="I911" s="136"/>
      <c r="J911" s="137"/>
    </row>
    <row r="912" ht="15.75" customHeight="1">
      <c r="C912" s="136"/>
      <c r="E912" s="136"/>
      <c r="G912" s="136"/>
      <c r="H912" s="136"/>
      <c r="I912" s="136"/>
      <c r="J912" s="137"/>
    </row>
    <row r="913" ht="15.75" customHeight="1">
      <c r="C913" s="136"/>
      <c r="E913" s="136"/>
      <c r="G913" s="136"/>
      <c r="H913" s="136"/>
      <c r="I913" s="136"/>
      <c r="J913" s="137"/>
    </row>
    <row r="914" ht="15.75" customHeight="1">
      <c r="C914" s="136"/>
      <c r="E914" s="136"/>
      <c r="G914" s="136"/>
      <c r="H914" s="136"/>
      <c r="I914" s="136"/>
      <c r="J914" s="137"/>
    </row>
    <row r="915" ht="15.75" customHeight="1">
      <c r="C915" s="136"/>
      <c r="E915" s="136"/>
      <c r="G915" s="136"/>
      <c r="H915" s="136"/>
      <c r="I915" s="136"/>
      <c r="J915" s="137"/>
    </row>
    <row r="916" ht="15.75" customHeight="1">
      <c r="C916" s="136"/>
      <c r="E916" s="136"/>
      <c r="G916" s="136"/>
      <c r="H916" s="136"/>
      <c r="I916" s="136"/>
      <c r="J916" s="137"/>
    </row>
    <row r="917" ht="15.75" customHeight="1">
      <c r="C917" s="136"/>
      <c r="E917" s="136"/>
      <c r="G917" s="136"/>
      <c r="H917" s="136"/>
      <c r="I917" s="136"/>
      <c r="J917" s="137"/>
    </row>
    <row r="918" ht="15.75" customHeight="1">
      <c r="C918" s="136"/>
      <c r="E918" s="136"/>
      <c r="G918" s="136"/>
      <c r="H918" s="136"/>
      <c r="I918" s="136"/>
      <c r="J918" s="137"/>
    </row>
    <row r="919" ht="15.75" customHeight="1">
      <c r="C919" s="136"/>
      <c r="E919" s="136"/>
      <c r="G919" s="136"/>
      <c r="H919" s="136"/>
      <c r="I919" s="136"/>
      <c r="J919" s="137"/>
    </row>
    <row r="920" ht="15.75" customHeight="1">
      <c r="C920" s="136"/>
      <c r="E920" s="136"/>
      <c r="G920" s="136"/>
      <c r="H920" s="136"/>
      <c r="I920" s="136"/>
      <c r="J920" s="137"/>
    </row>
    <row r="921" ht="15.75" customHeight="1">
      <c r="C921" s="136"/>
      <c r="E921" s="136"/>
      <c r="G921" s="136"/>
      <c r="H921" s="136"/>
      <c r="I921" s="136"/>
      <c r="J921" s="137"/>
    </row>
    <row r="922" ht="15.75" customHeight="1">
      <c r="C922" s="136"/>
      <c r="E922" s="136"/>
      <c r="G922" s="136"/>
      <c r="H922" s="136"/>
      <c r="I922" s="136"/>
      <c r="J922" s="137"/>
    </row>
    <row r="923" ht="15.75" customHeight="1">
      <c r="C923" s="136"/>
      <c r="E923" s="136"/>
      <c r="G923" s="136"/>
      <c r="H923" s="136"/>
      <c r="I923" s="136"/>
      <c r="J923" s="137"/>
    </row>
    <row r="924" ht="15.75" customHeight="1">
      <c r="C924" s="136"/>
      <c r="E924" s="136"/>
      <c r="G924" s="136"/>
      <c r="H924" s="136"/>
      <c r="I924" s="136"/>
      <c r="J924" s="137"/>
    </row>
    <row r="925" ht="15.75" customHeight="1">
      <c r="C925" s="136"/>
      <c r="E925" s="136"/>
      <c r="G925" s="136"/>
      <c r="H925" s="136"/>
      <c r="I925" s="136"/>
      <c r="J925" s="137"/>
    </row>
    <row r="926" ht="15.75" customHeight="1">
      <c r="C926" s="136"/>
      <c r="E926" s="136"/>
      <c r="G926" s="136"/>
      <c r="H926" s="136"/>
      <c r="I926" s="136"/>
      <c r="J926" s="137"/>
    </row>
    <row r="927" ht="15.75" customHeight="1">
      <c r="C927" s="136"/>
      <c r="E927" s="136"/>
      <c r="G927" s="136"/>
      <c r="H927" s="136"/>
      <c r="I927" s="136"/>
      <c r="J927" s="137"/>
    </row>
    <row r="928" ht="15.75" customHeight="1">
      <c r="C928" s="136"/>
      <c r="E928" s="136"/>
      <c r="G928" s="136"/>
      <c r="H928" s="136"/>
      <c r="I928" s="136"/>
      <c r="J928" s="137"/>
    </row>
    <row r="929" ht="15.75" customHeight="1">
      <c r="C929" s="136"/>
      <c r="E929" s="136"/>
      <c r="G929" s="136"/>
      <c r="H929" s="136"/>
      <c r="I929" s="136"/>
      <c r="J929" s="137"/>
    </row>
    <row r="930" ht="15.75" customHeight="1">
      <c r="C930" s="136"/>
      <c r="E930" s="136"/>
      <c r="G930" s="136"/>
      <c r="H930" s="136"/>
      <c r="I930" s="136"/>
      <c r="J930" s="137"/>
    </row>
    <row r="931" ht="15.75" customHeight="1">
      <c r="C931" s="136"/>
      <c r="E931" s="136"/>
      <c r="G931" s="136"/>
      <c r="H931" s="136"/>
      <c r="I931" s="136"/>
      <c r="J931" s="137"/>
    </row>
    <row r="932" ht="15.75" customHeight="1">
      <c r="C932" s="136"/>
      <c r="E932" s="136"/>
      <c r="G932" s="136"/>
      <c r="H932" s="136"/>
      <c r="I932" s="136"/>
      <c r="J932" s="137"/>
    </row>
    <row r="933" ht="15.75" customHeight="1">
      <c r="C933" s="136"/>
      <c r="E933" s="136"/>
      <c r="G933" s="136"/>
      <c r="H933" s="136"/>
      <c r="I933" s="136"/>
      <c r="J933" s="137"/>
    </row>
    <row r="934" ht="15.75" customHeight="1">
      <c r="C934" s="136"/>
      <c r="E934" s="136"/>
      <c r="G934" s="136"/>
      <c r="H934" s="136"/>
      <c r="I934" s="136"/>
      <c r="J934" s="137"/>
    </row>
    <row r="935" ht="15.75" customHeight="1">
      <c r="C935" s="136"/>
      <c r="E935" s="136"/>
      <c r="G935" s="136"/>
      <c r="H935" s="136"/>
      <c r="I935" s="136"/>
      <c r="J935" s="137"/>
    </row>
    <row r="936" ht="15.75" customHeight="1">
      <c r="C936" s="136"/>
      <c r="E936" s="136"/>
      <c r="G936" s="136"/>
      <c r="H936" s="136"/>
      <c r="I936" s="136"/>
      <c r="J936" s="137"/>
    </row>
    <row r="937" ht="15.75" customHeight="1">
      <c r="C937" s="136"/>
      <c r="E937" s="136"/>
      <c r="G937" s="136"/>
      <c r="H937" s="136"/>
      <c r="I937" s="136"/>
      <c r="J937" s="137"/>
    </row>
    <row r="938" ht="15.75" customHeight="1">
      <c r="C938" s="136"/>
      <c r="E938" s="136"/>
      <c r="G938" s="136"/>
      <c r="H938" s="136"/>
      <c r="I938" s="136"/>
      <c r="J938" s="137"/>
    </row>
    <row r="939" ht="15.75" customHeight="1">
      <c r="C939" s="136"/>
      <c r="E939" s="136"/>
      <c r="G939" s="136"/>
      <c r="H939" s="136"/>
      <c r="I939" s="136"/>
      <c r="J939" s="137"/>
    </row>
    <row r="940" ht="15.75" customHeight="1">
      <c r="C940" s="136"/>
      <c r="E940" s="136"/>
      <c r="G940" s="136"/>
      <c r="H940" s="136"/>
      <c r="I940" s="136"/>
      <c r="J940" s="137"/>
    </row>
    <row r="941" ht="15.75" customHeight="1">
      <c r="C941" s="136"/>
      <c r="E941" s="136"/>
      <c r="G941" s="136"/>
      <c r="H941" s="136"/>
      <c r="I941" s="136"/>
      <c r="J941" s="137"/>
    </row>
    <row r="942" ht="15.75" customHeight="1">
      <c r="C942" s="136"/>
      <c r="E942" s="136"/>
      <c r="G942" s="136"/>
      <c r="H942" s="136"/>
      <c r="I942" s="136"/>
      <c r="J942" s="137"/>
    </row>
    <row r="943" ht="15.75" customHeight="1">
      <c r="C943" s="136"/>
      <c r="E943" s="136"/>
      <c r="G943" s="136"/>
      <c r="H943" s="136"/>
      <c r="I943" s="136"/>
      <c r="J943" s="137"/>
    </row>
    <row r="944" ht="15.75" customHeight="1">
      <c r="C944" s="136"/>
      <c r="E944" s="136"/>
      <c r="G944" s="136"/>
      <c r="H944" s="136"/>
      <c r="I944" s="136"/>
      <c r="J944" s="137"/>
    </row>
    <row r="945" ht="15.75" customHeight="1">
      <c r="C945" s="136"/>
      <c r="E945" s="136"/>
      <c r="G945" s="136"/>
      <c r="H945" s="136"/>
      <c r="I945" s="136"/>
      <c r="J945" s="137"/>
    </row>
    <row r="946" ht="15.75" customHeight="1">
      <c r="C946" s="136"/>
      <c r="E946" s="136"/>
      <c r="G946" s="136"/>
      <c r="H946" s="136"/>
      <c r="I946" s="136"/>
      <c r="J946" s="137"/>
    </row>
    <row r="947" ht="15.75" customHeight="1">
      <c r="C947" s="136"/>
      <c r="E947" s="136"/>
      <c r="G947" s="136"/>
      <c r="H947" s="136"/>
      <c r="I947" s="136"/>
      <c r="J947" s="137"/>
    </row>
    <row r="948" ht="15.75" customHeight="1">
      <c r="C948" s="136"/>
      <c r="E948" s="136"/>
      <c r="G948" s="136"/>
      <c r="H948" s="136"/>
      <c r="I948" s="136"/>
      <c r="J948" s="137"/>
    </row>
    <row r="949" ht="15.75" customHeight="1">
      <c r="C949" s="136"/>
      <c r="E949" s="136"/>
      <c r="G949" s="136"/>
      <c r="H949" s="136"/>
      <c r="I949" s="136"/>
      <c r="J949" s="137"/>
    </row>
    <row r="950" ht="15.75" customHeight="1">
      <c r="C950" s="136"/>
      <c r="E950" s="136"/>
      <c r="G950" s="136"/>
      <c r="H950" s="136"/>
      <c r="I950" s="136"/>
      <c r="J950" s="137"/>
    </row>
    <row r="951" ht="15.75" customHeight="1">
      <c r="C951" s="136"/>
      <c r="E951" s="136"/>
      <c r="G951" s="136"/>
      <c r="H951" s="136"/>
      <c r="I951" s="136"/>
      <c r="J951" s="137"/>
    </row>
    <row r="952" ht="15.75" customHeight="1">
      <c r="C952" s="136"/>
      <c r="E952" s="136"/>
      <c r="G952" s="136"/>
      <c r="H952" s="136"/>
      <c r="I952" s="136"/>
      <c r="J952" s="137"/>
    </row>
    <row r="953" ht="15.75" customHeight="1">
      <c r="C953" s="136"/>
      <c r="E953" s="136"/>
      <c r="G953" s="136"/>
      <c r="H953" s="136"/>
      <c r="I953" s="136"/>
      <c r="J953" s="137"/>
    </row>
    <row r="954" ht="15.75" customHeight="1">
      <c r="C954" s="136"/>
      <c r="E954" s="136"/>
      <c r="G954" s="136"/>
      <c r="H954" s="136"/>
      <c r="I954" s="136"/>
      <c r="J954" s="137"/>
    </row>
    <row r="955" ht="15.75" customHeight="1">
      <c r="C955" s="136"/>
      <c r="E955" s="136"/>
      <c r="G955" s="136"/>
      <c r="H955" s="136"/>
      <c r="I955" s="136"/>
      <c r="J955" s="137"/>
    </row>
    <row r="956" ht="15.75" customHeight="1">
      <c r="C956" s="136"/>
      <c r="E956" s="136"/>
      <c r="G956" s="136"/>
      <c r="H956" s="136"/>
      <c r="I956" s="136"/>
      <c r="J956" s="137"/>
    </row>
    <row r="957" ht="15.75" customHeight="1">
      <c r="C957" s="136"/>
      <c r="E957" s="136"/>
      <c r="G957" s="136"/>
      <c r="H957" s="136"/>
      <c r="I957" s="136"/>
      <c r="J957" s="137"/>
    </row>
    <row r="958" ht="15.75" customHeight="1">
      <c r="C958" s="136"/>
      <c r="E958" s="136"/>
      <c r="G958" s="136"/>
      <c r="H958" s="136"/>
      <c r="I958" s="136"/>
      <c r="J958" s="137"/>
    </row>
    <row r="959" ht="15.75" customHeight="1">
      <c r="C959" s="136"/>
      <c r="E959" s="136"/>
      <c r="G959" s="136"/>
      <c r="H959" s="136"/>
      <c r="I959" s="136"/>
      <c r="J959" s="137"/>
    </row>
    <row r="960" ht="15.75" customHeight="1">
      <c r="C960" s="136"/>
      <c r="E960" s="136"/>
      <c r="G960" s="136"/>
      <c r="H960" s="136"/>
      <c r="I960" s="136"/>
      <c r="J960" s="137"/>
    </row>
    <row r="961" ht="15.75" customHeight="1">
      <c r="C961" s="136"/>
      <c r="E961" s="136"/>
      <c r="G961" s="136"/>
      <c r="H961" s="136"/>
      <c r="I961" s="136"/>
      <c r="J961" s="137"/>
    </row>
    <row r="962" ht="15.75" customHeight="1">
      <c r="C962" s="136"/>
      <c r="E962" s="136"/>
      <c r="G962" s="136"/>
      <c r="H962" s="136"/>
      <c r="I962" s="136"/>
      <c r="J962" s="137"/>
    </row>
    <row r="963" ht="15.75" customHeight="1">
      <c r="C963" s="136"/>
      <c r="E963" s="136"/>
      <c r="G963" s="136"/>
      <c r="H963" s="136"/>
      <c r="I963" s="136"/>
      <c r="J963" s="137"/>
    </row>
    <row r="964" ht="15.75" customHeight="1">
      <c r="C964" s="136"/>
      <c r="E964" s="136"/>
      <c r="G964" s="136"/>
      <c r="H964" s="136"/>
      <c r="I964" s="136"/>
      <c r="J964" s="137"/>
    </row>
    <row r="965" ht="15.75" customHeight="1">
      <c r="C965" s="136"/>
      <c r="E965" s="136"/>
      <c r="G965" s="136"/>
      <c r="H965" s="136"/>
      <c r="I965" s="136"/>
      <c r="J965" s="137"/>
    </row>
    <row r="966" ht="15.75" customHeight="1">
      <c r="C966" s="136"/>
      <c r="E966" s="136"/>
      <c r="G966" s="136"/>
      <c r="H966" s="136"/>
      <c r="I966" s="136"/>
      <c r="J966" s="137"/>
    </row>
    <row r="967" ht="15.75" customHeight="1">
      <c r="C967" s="136"/>
      <c r="E967" s="136"/>
      <c r="G967" s="136"/>
      <c r="H967" s="136"/>
      <c r="I967" s="136"/>
      <c r="J967" s="137"/>
    </row>
    <row r="968" ht="15.75" customHeight="1">
      <c r="C968" s="136"/>
      <c r="E968" s="136"/>
      <c r="G968" s="136"/>
      <c r="H968" s="136"/>
      <c r="I968" s="136"/>
      <c r="J968" s="137"/>
    </row>
    <row r="969" ht="15.75" customHeight="1">
      <c r="C969" s="136"/>
      <c r="E969" s="136"/>
      <c r="G969" s="136"/>
      <c r="H969" s="136"/>
      <c r="I969" s="136"/>
      <c r="J969" s="137"/>
    </row>
    <row r="970" ht="15.75" customHeight="1">
      <c r="C970" s="136"/>
      <c r="E970" s="136"/>
      <c r="G970" s="136"/>
      <c r="H970" s="136"/>
      <c r="I970" s="136"/>
      <c r="J970" s="137"/>
    </row>
    <row r="971" ht="15.75" customHeight="1">
      <c r="C971" s="136"/>
      <c r="E971" s="136"/>
      <c r="G971" s="136"/>
      <c r="H971" s="136"/>
      <c r="I971" s="136"/>
      <c r="J971" s="137"/>
    </row>
    <row r="972" ht="15.75" customHeight="1">
      <c r="C972" s="136"/>
      <c r="E972" s="136"/>
      <c r="G972" s="136"/>
      <c r="H972" s="136"/>
      <c r="I972" s="136"/>
      <c r="J972" s="137"/>
    </row>
    <row r="973" ht="15.75" customHeight="1">
      <c r="C973" s="136"/>
      <c r="E973" s="136"/>
      <c r="G973" s="136"/>
      <c r="H973" s="136"/>
      <c r="I973" s="136"/>
      <c r="J973" s="137"/>
    </row>
    <row r="974" ht="15.75" customHeight="1">
      <c r="C974" s="136"/>
      <c r="E974" s="136"/>
      <c r="G974" s="136"/>
      <c r="H974" s="136"/>
      <c r="I974" s="136"/>
      <c r="J974" s="137"/>
    </row>
    <row r="975" ht="15.75" customHeight="1">
      <c r="C975" s="136"/>
      <c r="E975" s="136"/>
      <c r="G975" s="136"/>
      <c r="H975" s="136"/>
      <c r="I975" s="136"/>
      <c r="J975" s="137"/>
    </row>
    <row r="976" ht="15.75" customHeight="1">
      <c r="C976" s="136"/>
      <c r="E976" s="136"/>
      <c r="G976" s="136"/>
      <c r="H976" s="136"/>
      <c r="I976" s="136"/>
      <c r="J976" s="137"/>
    </row>
    <row r="977" ht="15.75" customHeight="1">
      <c r="C977" s="136"/>
      <c r="E977" s="136"/>
      <c r="G977" s="136"/>
      <c r="H977" s="136"/>
      <c r="I977" s="136"/>
      <c r="J977" s="137"/>
    </row>
    <row r="978" ht="15.75" customHeight="1">
      <c r="C978" s="136"/>
      <c r="E978" s="136"/>
      <c r="G978" s="136"/>
      <c r="H978" s="136"/>
      <c r="I978" s="136"/>
      <c r="J978" s="137"/>
    </row>
    <row r="979" ht="15.75" customHeight="1">
      <c r="C979" s="136"/>
      <c r="E979" s="136"/>
      <c r="G979" s="136"/>
      <c r="H979" s="136"/>
      <c r="I979" s="136"/>
      <c r="J979" s="137"/>
    </row>
    <row r="980" ht="15.75" customHeight="1">
      <c r="C980" s="136"/>
      <c r="E980" s="136"/>
      <c r="G980" s="136"/>
      <c r="H980" s="136"/>
      <c r="I980" s="136"/>
      <c r="J980" s="137"/>
    </row>
    <row r="981" ht="15.75" customHeight="1">
      <c r="C981" s="136"/>
      <c r="E981" s="136"/>
      <c r="G981" s="136"/>
      <c r="H981" s="136"/>
      <c r="I981" s="136"/>
      <c r="J981" s="137"/>
    </row>
    <row r="982" ht="15.75" customHeight="1">
      <c r="C982" s="136"/>
      <c r="E982" s="136"/>
      <c r="G982" s="136"/>
      <c r="H982" s="136"/>
      <c r="I982" s="136"/>
      <c r="J982" s="137"/>
    </row>
    <row r="983" ht="15.75" customHeight="1">
      <c r="C983" s="136"/>
      <c r="E983" s="136"/>
      <c r="G983" s="136"/>
      <c r="H983" s="136"/>
      <c r="I983" s="136"/>
      <c r="J983" s="137"/>
    </row>
    <row r="984" ht="15.75" customHeight="1">
      <c r="C984" s="136"/>
      <c r="E984" s="136"/>
      <c r="G984" s="136"/>
      <c r="H984" s="136"/>
      <c r="I984" s="136"/>
      <c r="J984" s="137"/>
    </row>
    <row r="985" ht="15.75" customHeight="1">
      <c r="C985" s="136"/>
      <c r="E985" s="136"/>
      <c r="G985" s="136"/>
      <c r="H985" s="136"/>
      <c r="I985" s="136"/>
      <c r="J985" s="137"/>
    </row>
    <row r="986" ht="15.75" customHeight="1">
      <c r="C986" s="136"/>
      <c r="E986" s="136"/>
      <c r="G986" s="136"/>
      <c r="H986" s="136"/>
      <c r="I986" s="136"/>
      <c r="J986" s="137"/>
    </row>
    <row r="987" ht="15.75" customHeight="1">
      <c r="C987" s="136"/>
      <c r="E987" s="136"/>
      <c r="G987" s="136"/>
      <c r="H987" s="136"/>
      <c r="I987" s="136"/>
      <c r="J987" s="137"/>
    </row>
    <row r="988" ht="15.75" customHeight="1">
      <c r="C988" s="136"/>
      <c r="E988" s="136"/>
      <c r="G988" s="136"/>
      <c r="H988" s="136"/>
      <c r="I988" s="136"/>
      <c r="J988" s="137"/>
    </row>
    <row r="989" ht="15.75" customHeight="1">
      <c r="C989" s="136"/>
      <c r="E989" s="136"/>
      <c r="G989" s="136"/>
      <c r="H989" s="136"/>
      <c r="I989" s="136"/>
      <c r="J989" s="137"/>
    </row>
    <row r="990" ht="15.75" customHeight="1">
      <c r="C990" s="136"/>
      <c r="E990" s="136"/>
      <c r="G990" s="136"/>
      <c r="H990" s="136"/>
      <c r="I990" s="136"/>
      <c r="J990" s="137"/>
    </row>
    <row r="991" ht="15.75" customHeight="1">
      <c r="C991" s="136"/>
      <c r="E991" s="136"/>
      <c r="G991" s="136"/>
      <c r="H991" s="136"/>
      <c r="I991" s="136"/>
      <c r="J991" s="137"/>
    </row>
    <row r="992" ht="15.75" customHeight="1">
      <c r="C992" s="136"/>
      <c r="E992" s="136"/>
      <c r="G992" s="136"/>
      <c r="H992" s="136"/>
      <c r="I992" s="136"/>
      <c r="J992" s="137"/>
    </row>
    <row r="993" ht="15.75" customHeight="1">
      <c r="C993" s="136"/>
      <c r="E993" s="136"/>
      <c r="G993" s="136"/>
      <c r="H993" s="136"/>
      <c r="I993" s="136"/>
      <c r="J993" s="137"/>
    </row>
    <row r="994" ht="15.75" customHeight="1">
      <c r="C994" s="136"/>
      <c r="E994" s="136"/>
      <c r="G994" s="136"/>
      <c r="H994" s="136"/>
      <c r="I994" s="136"/>
      <c r="J994" s="137"/>
    </row>
    <row r="995" ht="15.75" customHeight="1">
      <c r="C995" s="136"/>
      <c r="E995" s="136"/>
      <c r="G995" s="136"/>
      <c r="H995" s="136"/>
      <c r="I995" s="136"/>
      <c r="J995" s="137"/>
    </row>
    <row r="996" ht="15.75" customHeight="1">
      <c r="C996" s="136"/>
      <c r="E996" s="136"/>
      <c r="G996" s="136"/>
      <c r="H996" s="136"/>
      <c r="I996" s="136"/>
      <c r="J996" s="137"/>
    </row>
    <row r="997" ht="15.75" customHeight="1">
      <c r="C997" s="136"/>
      <c r="E997" s="136"/>
      <c r="G997" s="136"/>
      <c r="H997" s="136"/>
      <c r="I997" s="136"/>
      <c r="J997" s="137"/>
    </row>
    <row r="998" ht="15.75" customHeight="1">
      <c r="C998" s="136"/>
      <c r="E998" s="136"/>
      <c r="G998" s="136"/>
      <c r="H998" s="136"/>
      <c r="I998" s="136"/>
      <c r="J998" s="137"/>
    </row>
    <row r="999" ht="15.75" customHeight="1">
      <c r="C999" s="136"/>
      <c r="E999" s="136"/>
      <c r="G999" s="136"/>
      <c r="H999" s="136"/>
      <c r="I999" s="136"/>
      <c r="J999" s="137"/>
    </row>
    <row r="1000" ht="15.75" customHeight="1">
      <c r="C1000" s="136"/>
      <c r="E1000" s="136"/>
      <c r="G1000" s="136"/>
      <c r="H1000" s="136"/>
      <c r="I1000" s="136"/>
      <c r="J1000" s="137"/>
    </row>
    <row r="1001" ht="15.75" customHeight="1">
      <c r="C1001" s="136"/>
      <c r="E1001" s="136"/>
      <c r="G1001" s="136"/>
      <c r="H1001" s="136"/>
      <c r="I1001" s="136"/>
      <c r="J1001" s="137"/>
    </row>
    <row r="1002" ht="15.75" customHeight="1">
      <c r="C1002" s="136"/>
      <c r="E1002" s="136"/>
      <c r="G1002" s="136"/>
      <c r="H1002" s="136"/>
      <c r="I1002" s="136"/>
      <c r="J1002" s="137"/>
    </row>
    <row r="1003" ht="15.75" customHeight="1">
      <c r="C1003" s="136"/>
      <c r="E1003" s="136"/>
      <c r="G1003" s="136"/>
      <c r="H1003" s="136"/>
      <c r="I1003" s="136"/>
      <c r="J1003" s="138"/>
    </row>
  </sheetData>
  <mergeCells count="13">
    <mergeCell ref="F2:G3"/>
    <mergeCell ref="H2:H3"/>
    <mergeCell ref="J2:M2"/>
    <mergeCell ref="J3:M3"/>
    <mergeCell ref="I4:M5"/>
    <mergeCell ref="J6:P6"/>
    <mergeCell ref="A1:B1"/>
    <mergeCell ref="C1:I1"/>
    <mergeCell ref="J1:P1"/>
    <mergeCell ref="A2:A6"/>
    <mergeCell ref="B2:B6"/>
    <mergeCell ref="C2:C3"/>
    <mergeCell ref="D2:E3"/>
  </mergeCells>
  <hyperlinks>
    <hyperlink r:id="rId2" ref="J11"/>
    <hyperlink r:id="rId3" ref="J14"/>
    <hyperlink r:id="rId4" ref="K14"/>
    <hyperlink r:id="rId5" ref="J15"/>
    <hyperlink r:id="rId6" ref="J16"/>
    <hyperlink r:id="rId7" ref="J18"/>
    <hyperlink r:id="rId8" ref="J21"/>
    <hyperlink r:id="rId9" ref="K21"/>
    <hyperlink r:id="rId10" ref="J23"/>
    <hyperlink r:id="rId11" ref="J24"/>
    <hyperlink r:id="rId12" ref="J26"/>
    <hyperlink r:id="rId13" ref="J29"/>
    <hyperlink r:id="rId14" ref="K29"/>
    <hyperlink r:id="rId15" ref="J30"/>
    <hyperlink r:id="rId16" ref="J32"/>
    <hyperlink r:id="rId17" ref="J34"/>
    <hyperlink r:id="rId18" ref="J49"/>
    <hyperlink r:id="rId19" ref="J50"/>
    <hyperlink r:id="rId20" ref="J56"/>
    <hyperlink r:id="rId21" ref="K56"/>
  </hyperlinks>
  <drawing r:id="rId22"/>
  <legacyDrawing r:id="rId23"/>
  <tableParts count="1">
    <tablePart r:id="rId2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9" t="s">
        <v>57</v>
      </c>
      <c r="B1" s="139" t="s">
        <v>58</v>
      </c>
      <c r="C1" s="139" t="s">
        <v>59</v>
      </c>
      <c r="D1" s="140" t="s">
        <v>60</v>
      </c>
      <c r="E1" s="140" t="s">
        <v>61</v>
      </c>
    </row>
    <row r="2">
      <c r="A2" s="141">
        <v>2023.0</v>
      </c>
      <c r="B2" s="142">
        <v>1193.0</v>
      </c>
      <c r="C2" s="142">
        <v>36.0</v>
      </c>
      <c r="D2" s="140"/>
      <c r="E2" s="143" t="s">
        <v>62</v>
      </c>
      <c r="G2" s="144" t="s">
        <v>63</v>
      </c>
    </row>
    <row r="3">
      <c r="A3" s="141">
        <v>2022.0</v>
      </c>
      <c r="B3" s="145">
        <f>857+441</f>
        <v>1298</v>
      </c>
      <c r="C3" s="142">
        <v>13.0</v>
      </c>
      <c r="D3" s="146" t="s">
        <v>64</v>
      </c>
      <c r="E3" s="147" t="s">
        <v>65</v>
      </c>
    </row>
    <row r="4">
      <c r="A4" s="141">
        <v>2021.0</v>
      </c>
      <c r="B4" s="142">
        <v>642.0</v>
      </c>
      <c r="C4" s="142">
        <v>0.0</v>
      </c>
      <c r="D4" s="146" t="s">
        <v>66</v>
      </c>
      <c r="E4" s="144" t="s">
        <v>67</v>
      </c>
    </row>
    <row r="5">
      <c r="A5" s="148">
        <v>2020.0</v>
      </c>
      <c r="B5" s="142">
        <v>2184.0</v>
      </c>
      <c r="C5" s="142">
        <v>12.0</v>
      </c>
      <c r="E5" s="144" t="s">
        <v>67</v>
      </c>
    </row>
    <row r="6">
      <c r="A6" s="148">
        <v>2019.0</v>
      </c>
      <c r="B6" s="142">
        <v>1026.0</v>
      </c>
      <c r="C6" s="142">
        <v>0.0</v>
      </c>
      <c r="E6" s="144" t="s">
        <v>67</v>
      </c>
    </row>
    <row r="7">
      <c r="A7" s="148">
        <v>2018.0</v>
      </c>
      <c r="B7" s="142">
        <v>928.0</v>
      </c>
      <c r="C7" s="142">
        <v>7.0</v>
      </c>
      <c r="E7" s="144" t="s">
        <v>67</v>
      </c>
    </row>
    <row r="8">
      <c r="A8" s="148">
        <v>2017.0</v>
      </c>
      <c r="B8" s="142">
        <v>949.0</v>
      </c>
      <c r="C8" s="142">
        <v>2.0</v>
      </c>
      <c r="E8" s="144" t="s">
        <v>67</v>
      </c>
    </row>
    <row r="9">
      <c r="A9" s="148">
        <v>2016.0</v>
      </c>
      <c r="B9" s="142">
        <v>4775.0</v>
      </c>
      <c r="C9" s="142">
        <v>7.0</v>
      </c>
      <c r="E9" s="144" t="s">
        <v>67</v>
      </c>
    </row>
    <row r="10">
      <c r="A10" s="148">
        <v>2015.0</v>
      </c>
      <c r="B10" s="142">
        <v>515.0</v>
      </c>
      <c r="C10" s="142">
        <v>3.0</v>
      </c>
      <c r="E10" s="144" t="s">
        <v>67</v>
      </c>
    </row>
    <row r="11">
      <c r="A11" s="148">
        <v>2014.0</v>
      </c>
      <c r="B11" s="142">
        <v>408.0</v>
      </c>
      <c r="C11" s="142">
        <v>0.0</v>
      </c>
      <c r="E11" s="144" t="s">
        <v>67</v>
      </c>
    </row>
    <row r="12">
      <c r="A12" s="148">
        <v>2013.0</v>
      </c>
      <c r="B12" s="142">
        <v>266.0</v>
      </c>
      <c r="C12" s="142">
        <v>0.0</v>
      </c>
      <c r="E12" s="144" t="s">
        <v>67</v>
      </c>
    </row>
    <row r="13">
      <c r="A13" s="148">
        <v>2012.0</v>
      </c>
      <c r="B13" s="142">
        <v>297.0</v>
      </c>
      <c r="C13" s="142">
        <v>0.0</v>
      </c>
      <c r="E13" s="144" t="s">
        <v>67</v>
      </c>
    </row>
    <row r="14">
      <c r="A14" s="148">
        <v>2011.0</v>
      </c>
      <c r="B14" s="142">
        <v>449.0</v>
      </c>
      <c r="C14" s="142">
        <v>0.0</v>
      </c>
      <c r="E14" s="144" t="s">
        <v>67</v>
      </c>
    </row>
    <row r="15">
      <c r="A15" s="148">
        <v>2010.0</v>
      </c>
      <c r="B15" s="142">
        <v>1209.0</v>
      </c>
      <c r="C15" s="142">
        <v>2.0</v>
      </c>
      <c r="E15" s="144" t="s">
        <v>67</v>
      </c>
    </row>
    <row r="16">
      <c r="A16" s="148">
        <v>2009.0</v>
      </c>
      <c r="B16" s="142">
        <v>190.0</v>
      </c>
      <c r="C16" s="142">
        <v>1.0</v>
      </c>
      <c r="E16" s="144" t="s">
        <v>67</v>
      </c>
    </row>
    <row r="17">
      <c r="A17" s="148">
        <v>2008.0</v>
      </c>
      <c r="B17" s="142">
        <v>279.0</v>
      </c>
      <c r="C17" s="142">
        <v>2.0</v>
      </c>
      <c r="E17" s="144" t="s">
        <v>67</v>
      </c>
    </row>
    <row r="18">
      <c r="A18" s="148">
        <v>2007.0</v>
      </c>
      <c r="B18" s="142">
        <v>248.0</v>
      </c>
      <c r="C18" s="142">
        <v>0.0</v>
      </c>
      <c r="E18" s="144" t="s">
        <v>67</v>
      </c>
    </row>
    <row r="19">
      <c r="A19" s="148">
        <v>2006.0</v>
      </c>
      <c r="B19" s="142">
        <v>180.0</v>
      </c>
      <c r="C19" s="142">
        <v>0.0</v>
      </c>
      <c r="E19" s="144" t="s">
        <v>67</v>
      </c>
    </row>
    <row r="20">
      <c r="A20" s="148">
        <v>2005.0</v>
      </c>
      <c r="B20" s="142">
        <v>190.0</v>
      </c>
      <c r="C20" s="142">
        <v>1.0</v>
      </c>
      <c r="E20" s="144" t="s">
        <v>67</v>
      </c>
    </row>
    <row r="21">
      <c r="A21" s="149"/>
    </row>
    <row r="22">
      <c r="B22" s="140" t="s">
        <v>68</v>
      </c>
    </row>
    <row r="23">
      <c r="B23" s="150" t="s">
        <v>69</v>
      </c>
    </row>
    <row r="24">
      <c r="B24" s="140" t="s">
        <v>70</v>
      </c>
    </row>
    <row r="26">
      <c r="A26" s="140" t="s">
        <v>71</v>
      </c>
    </row>
    <row r="27">
      <c r="A27" s="144" t="s">
        <v>72</v>
      </c>
    </row>
  </sheetData>
  <hyperlinks>
    <hyperlink r:id="rId1" ref="E2"/>
    <hyperlink r:id="rId2" ref="G2"/>
    <hyperlink r:id="rId3" ref="E3"/>
    <hyperlink r:id="rId4" location="states" ref="E4"/>
    <hyperlink r:id="rId5" location="states" ref="E5"/>
    <hyperlink r:id="rId6" location="states" ref="E6"/>
    <hyperlink r:id="rId7" location="states" ref="E7"/>
    <hyperlink r:id="rId8" location="states" ref="E8"/>
    <hyperlink r:id="rId9" location="states" ref="E9"/>
    <hyperlink r:id="rId10" location="states" ref="E10"/>
    <hyperlink r:id="rId11" location="states" ref="E11"/>
    <hyperlink r:id="rId12" location="states" ref="E12"/>
    <hyperlink r:id="rId13" location="states" ref="E13"/>
    <hyperlink r:id="rId14" location="states" ref="E14"/>
    <hyperlink r:id="rId15" location="states" ref="E15"/>
    <hyperlink r:id="rId16" location="states" ref="E16"/>
    <hyperlink r:id="rId17" location="states" ref="E17"/>
    <hyperlink r:id="rId18" location="states" ref="E18"/>
    <hyperlink r:id="rId19" location="states" ref="E19"/>
    <hyperlink r:id="rId20" location="states" ref="E20"/>
    <hyperlink r:id="rId21" location="nyappendix" ref="B23"/>
    <hyperlink r:id="rId22" ref="A27"/>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13"/>
    <col customWidth="1" min="2" max="2" width="15.25"/>
    <col customWidth="1" min="3" max="3" width="21.25"/>
    <col customWidth="1" min="4" max="4" width="14.63"/>
    <col customWidth="1" min="5" max="5" width="15.88"/>
    <col customWidth="1" min="6" max="6" width="12.63"/>
    <col customWidth="1" min="8" max="8" width="50.38"/>
  </cols>
  <sheetData>
    <row r="1" ht="15.75" customHeight="1">
      <c r="A1" s="151" t="s">
        <v>73</v>
      </c>
      <c r="B1" s="40"/>
      <c r="C1" s="41"/>
      <c r="D1" s="152">
        <f>Summary!E5</f>
        <v>74</v>
      </c>
      <c r="E1" s="153"/>
      <c r="F1" s="154"/>
      <c r="G1" s="41"/>
      <c r="H1" s="155"/>
      <c r="I1" s="155"/>
      <c r="J1" s="155"/>
      <c r="K1" s="155"/>
      <c r="L1" s="155"/>
      <c r="M1" s="155"/>
      <c r="N1" s="155"/>
      <c r="O1" s="155"/>
      <c r="P1" s="155"/>
      <c r="Q1" s="155"/>
      <c r="R1" s="155"/>
      <c r="S1" s="155"/>
      <c r="T1" s="155"/>
      <c r="U1" s="155"/>
      <c r="V1" s="155"/>
      <c r="W1" s="155"/>
      <c r="X1" s="155"/>
      <c r="Y1" s="155"/>
      <c r="Z1" s="156"/>
    </row>
    <row r="2" ht="15.75" customHeight="1">
      <c r="A2" s="157" t="s">
        <v>28</v>
      </c>
      <c r="B2" s="157" t="s">
        <v>6</v>
      </c>
      <c r="C2" s="158" t="s">
        <v>74</v>
      </c>
      <c r="D2" s="158" t="s">
        <v>75</v>
      </c>
      <c r="E2" s="159" t="s">
        <v>76</v>
      </c>
      <c r="F2" s="155"/>
      <c r="G2" s="155"/>
      <c r="H2" s="155"/>
      <c r="I2" s="155"/>
      <c r="J2" s="155"/>
      <c r="K2" s="155"/>
      <c r="L2" s="155"/>
      <c r="M2" s="155"/>
      <c r="N2" s="155"/>
      <c r="O2" s="155"/>
      <c r="P2" s="155"/>
      <c r="Q2" s="155"/>
      <c r="R2" s="155"/>
      <c r="S2" s="155"/>
      <c r="T2" s="155"/>
      <c r="U2" s="155"/>
      <c r="V2" s="155"/>
      <c r="W2" s="155"/>
      <c r="X2" s="155"/>
      <c r="Y2" s="155"/>
      <c r="Z2" s="156"/>
    </row>
    <row r="3" ht="15.75" customHeight="1">
      <c r="A3" s="160">
        <v>45282.0</v>
      </c>
      <c r="B3" s="161" t="s">
        <v>77</v>
      </c>
      <c r="C3" s="162" t="s">
        <v>78</v>
      </c>
      <c r="D3" s="163" t="s">
        <v>79</v>
      </c>
      <c r="E3" s="162" t="s">
        <v>80</v>
      </c>
      <c r="F3" s="164"/>
      <c r="G3" s="164"/>
      <c r="H3" s="164"/>
      <c r="I3" s="164"/>
      <c r="J3" s="164"/>
      <c r="K3" s="164"/>
      <c r="L3" s="164"/>
      <c r="M3" s="164"/>
      <c r="N3" s="164"/>
      <c r="O3" s="164"/>
      <c r="P3" s="164"/>
      <c r="Q3" s="164"/>
      <c r="R3" s="164"/>
      <c r="S3" s="164"/>
      <c r="T3" s="164"/>
      <c r="U3" s="164"/>
      <c r="V3" s="164"/>
      <c r="W3" s="164"/>
      <c r="X3" s="164"/>
      <c r="Y3" s="164"/>
      <c r="Z3" s="165"/>
    </row>
    <row r="4" ht="15.75" customHeight="1">
      <c r="A4" s="68"/>
      <c r="B4" s="68"/>
      <c r="C4" s="162" t="s">
        <v>81</v>
      </c>
      <c r="D4" s="163" t="s">
        <v>82</v>
      </c>
      <c r="E4" s="162" t="s">
        <v>83</v>
      </c>
      <c r="F4" s="164"/>
      <c r="G4" s="164"/>
      <c r="H4" s="164"/>
      <c r="I4" s="164"/>
      <c r="J4" s="164"/>
      <c r="K4" s="164"/>
      <c r="L4" s="164"/>
      <c r="M4" s="164"/>
      <c r="N4" s="164"/>
      <c r="O4" s="164"/>
      <c r="P4" s="164"/>
      <c r="Q4" s="164"/>
      <c r="R4" s="164"/>
      <c r="S4" s="164"/>
      <c r="T4" s="164"/>
      <c r="U4" s="164"/>
      <c r="V4" s="164"/>
      <c r="W4" s="164"/>
      <c r="X4" s="164"/>
      <c r="Y4" s="164"/>
      <c r="Z4" s="165"/>
    </row>
    <row r="5" ht="15.75" customHeight="1">
      <c r="A5" s="166">
        <v>45146.0</v>
      </c>
      <c r="B5" s="167" t="s">
        <v>77</v>
      </c>
      <c r="C5" s="168" t="s">
        <v>84</v>
      </c>
      <c r="D5" s="169" t="s">
        <v>85</v>
      </c>
      <c r="E5" s="168" t="s">
        <v>86</v>
      </c>
      <c r="F5" s="170"/>
      <c r="G5" s="170"/>
      <c r="H5" s="170"/>
      <c r="I5" s="170"/>
      <c r="J5" s="170"/>
      <c r="K5" s="170"/>
      <c r="L5" s="170"/>
      <c r="M5" s="170"/>
      <c r="N5" s="170"/>
      <c r="O5" s="170"/>
      <c r="P5" s="170"/>
      <c r="Q5" s="170"/>
      <c r="R5" s="170"/>
      <c r="S5" s="170"/>
      <c r="T5" s="170"/>
      <c r="U5" s="170"/>
      <c r="V5" s="170"/>
      <c r="W5" s="170"/>
      <c r="X5" s="170"/>
      <c r="Y5" s="170"/>
      <c r="Z5" s="156"/>
    </row>
    <row r="6" ht="15.75" customHeight="1">
      <c r="A6" s="44"/>
      <c r="B6" s="44"/>
      <c r="C6" s="169" t="s">
        <v>87</v>
      </c>
      <c r="D6" s="169" t="s">
        <v>88</v>
      </c>
      <c r="E6" s="168" t="s">
        <v>89</v>
      </c>
      <c r="F6" s="170"/>
      <c r="G6" s="170"/>
      <c r="H6" s="170"/>
      <c r="I6" s="170"/>
      <c r="J6" s="170"/>
      <c r="K6" s="170"/>
      <c r="L6" s="170"/>
      <c r="M6" s="170"/>
      <c r="N6" s="170"/>
      <c r="O6" s="170"/>
      <c r="P6" s="170"/>
      <c r="Q6" s="170"/>
      <c r="R6" s="170"/>
      <c r="S6" s="170"/>
      <c r="T6" s="170"/>
      <c r="U6" s="170"/>
      <c r="V6" s="170"/>
      <c r="W6" s="170"/>
      <c r="X6" s="170"/>
      <c r="Y6" s="170"/>
      <c r="Z6" s="156"/>
    </row>
    <row r="7" ht="15.75" customHeight="1">
      <c r="A7" s="68"/>
      <c r="B7" s="68"/>
      <c r="C7" s="169" t="s">
        <v>90</v>
      </c>
      <c r="D7" s="169" t="s">
        <v>91</v>
      </c>
      <c r="E7" s="171" t="s">
        <v>92</v>
      </c>
      <c r="F7" s="170"/>
      <c r="G7" s="170"/>
      <c r="H7" s="170"/>
      <c r="I7" s="170"/>
      <c r="J7" s="170"/>
      <c r="K7" s="170"/>
      <c r="L7" s="170"/>
      <c r="M7" s="170"/>
      <c r="N7" s="170"/>
      <c r="O7" s="170"/>
      <c r="P7" s="170"/>
      <c r="Q7" s="170"/>
      <c r="R7" s="170"/>
      <c r="S7" s="170"/>
      <c r="T7" s="170"/>
      <c r="U7" s="170"/>
      <c r="V7" s="170"/>
      <c r="W7" s="170"/>
      <c r="X7" s="170"/>
      <c r="Y7" s="170"/>
      <c r="Z7" s="156"/>
    </row>
    <row r="8" ht="15.75" customHeight="1">
      <c r="A8" s="172">
        <v>45023.0</v>
      </c>
      <c r="B8" s="173" t="s">
        <v>77</v>
      </c>
      <c r="C8" s="164" t="s">
        <v>93</v>
      </c>
      <c r="D8" s="164" t="s">
        <v>94</v>
      </c>
      <c r="E8" s="174" t="s">
        <v>95</v>
      </c>
      <c r="F8" s="164"/>
      <c r="G8" s="164"/>
      <c r="H8" s="164"/>
      <c r="I8" s="164"/>
      <c r="J8" s="164"/>
      <c r="K8" s="164"/>
      <c r="L8" s="164"/>
      <c r="M8" s="164"/>
      <c r="N8" s="164"/>
      <c r="O8" s="164"/>
      <c r="P8" s="164"/>
      <c r="Q8" s="164"/>
      <c r="R8" s="164"/>
      <c r="S8" s="164"/>
      <c r="T8" s="164"/>
      <c r="U8" s="164"/>
      <c r="V8" s="164"/>
      <c r="W8" s="164"/>
      <c r="X8" s="164"/>
      <c r="Y8" s="164"/>
      <c r="Z8" s="165"/>
    </row>
    <row r="9" ht="15.75" customHeight="1">
      <c r="A9" s="68"/>
      <c r="B9" s="68"/>
      <c r="C9" s="164" t="s">
        <v>96</v>
      </c>
      <c r="D9" s="164" t="s">
        <v>97</v>
      </c>
      <c r="E9" s="174" t="s">
        <v>98</v>
      </c>
      <c r="F9" s="164"/>
      <c r="G9" s="164"/>
      <c r="H9" s="164"/>
      <c r="I9" s="164"/>
      <c r="J9" s="164"/>
      <c r="K9" s="164"/>
      <c r="L9" s="164"/>
      <c r="M9" s="164"/>
      <c r="N9" s="164"/>
      <c r="O9" s="164"/>
      <c r="P9" s="164"/>
      <c r="Q9" s="164"/>
      <c r="R9" s="164"/>
      <c r="S9" s="164"/>
      <c r="T9" s="164"/>
      <c r="U9" s="164"/>
      <c r="V9" s="164"/>
      <c r="W9" s="164"/>
      <c r="X9" s="164"/>
      <c r="Y9" s="164"/>
      <c r="Z9" s="165"/>
    </row>
    <row r="10" ht="15.75" customHeight="1">
      <c r="A10" s="175">
        <v>44916.0</v>
      </c>
      <c r="B10" s="176" t="s">
        <v>77</v>
      </c>
      <c r="C10" s="170" t="s">
        <v>99</v>
      </c>
      <c r="D10" s="170" t="s">
        <v>100</v>
      </c>
      <c r="E10" s="177" t="s">
        <v>101</v>
      </c>
      <c r="F10" s="170"/>
      <c r="G10" s="170"/>
      <c r="H10" s="170"/>
      <c r="I10" s="170"/>
      <c r="J10" s="170"/>
      <c r="K10" s="170"/>
      <c r="L10" s="170"/>
      <c r="M10" s="170"/>
      <c r="N10" s="170"/>
      <c r="O10" s="170"/>
      <c r="P10" s="170"/>
      <c r="Q10" s="170"/>
      <c r="R10" s="170"/>
      <c r="S10" s="170"/>
      <c r="T10" s="170"/>
      <c r="U10" s="170"/>
      <c r="V10" s="170"/>
      <c r="W10" s="170"/>
      <c r="X10" s="170"/>
      <c r="Y10" s="170"/>
      <c r="Z10" s="156"/>
    </row>
    <row r="11" ht="15.75" customHeight="1">
      <c r="A11" s="44"/>
      <c r="B11" s="44"/>
      <c r="C11" s="170" t="s">
        <v>102</v>
      </c>
      <c r="D11" s="170" t="s">
        <v>103</v>
      </c>
      <c r="E11" s="177" t="s">
        <v>104</v>
      </c>
      <c r="F11" s="170"/>
      <c r="G11" s="170"/>
      <c r="H11" s="170"/>
      <c r="I11" s="170"/>
      <c r="J11" s="170"/>
      <c r="K11" s="170"/>
      <c r="L11" s="170"/>
      <c r="M11" s="170"/>
      <c r="N11" s="170"/>
      <c r="O11" s="170"/>
      <c r="P11" s="170"/>
      <c r="Q11" s="170"/>
      <c r="R11" s="170"/>
      <c r="S11" s="170"/>
      <c r="T11" s="170"/>
      <c r="U11" s="170"/>
      <c r="V11" s="170"/>
      <c r="W11" s="170"/>
      <c r="X11" s="170"/>
      <c r="Y11" s="170"/>
      <c r="Z11" s="156"/>
    </row>
    <row r="12" ht="15.75" customHeight="1">
      <c r="A12" s="44"/>
      <c r="B12" s="44"/>
      <c r="C12" s="170" t="s">
        <v>105</v>
      </c>
      <c r="D12" s="170" t="s">
        <v>106</v>
      </c>
      <c r="E12" s="177" t="s">
        <v>107</v>
      </c>
      <c r="F12" s="170"/>
      <c r="G12" s="170"/>
      <c r="H12" s="170"/>
      <c r="I12" s="170"/>
      <c r="J12" s="170"/>
      <c r="K12" s="170"/>
      <c r="L12" s="170"/>
      <c r="M12" s="170"/>
      <c r="N12" s="170"/>
      <c r="O12" s="170"/>
      <c r="P12" s="170"/>
      <c r="Q12" s="170"/>
      <c r="R12" s="170"/>
      <c r="S12" s="170"/>
      <c r="T12" s="170"/>
      <c r="U12" s="170"/>
      <c r="V12" s="170"/>
      <c r="W12" s="170"/>
      <c r="X12" s="170"/>
      <c r="Y12" s="170"/>
      <c r="Z12" s="156"/>
    </row>
    <row r="13" ht="15.75" customHeight="1">
      <c r="A13" s="68"/>
      <c r="B13" s="68"/>
      <c r="C13" s="170" t="s">
        <v>108</v>
      </c>
      <c r="D13" s="170" t="s">
        <v>109</v>
      </c>
      <c r="E13" s="177" t="s">
        <v>110</v>
      </c>
      <c r="F13" s="170"/>
      <c r="G13" s="170"/>
      <c r="H13" s="170"/>
      <c r="I13" s="170"/>
      <c r="J13" s="170"/>
      <c r="K13" s="170"/>
      <c r="L13" s="170"/>
      <c r="M13" s="170"/>
      <c r="N13" s="170"/>
      <c r="O13" s="170"/>
      <c r="P13" s="170"/>
      <c r="Q13" s="170"/>
      <c r="R13" s="170"/>
      <c r="S13" s="170"/>
      <c r="T13" s="170"/>
      <c r="U13" s="170"/>
      <c r="V13" s="170"/>
      <c r="W13" s="170"/>
      <c r="X13" s="170"/>
      <c r="Y13" s="170"/>
      <c r="Z13" s="156"/>
    </row>
    <row r="14" ht="15.75" customHeight="1">
      <c r="A14" s="178">
        <v>44554.0</v>
      </c>
      <c r="B14" s="179" t="s">
        <v>77</v>
      </c>
      <c r="C14" s="164" t="s">
        <v>111</v>
      </c>
      <c r="D14" s="164" t="s">
        <v>112</v>
      </c>
      <c r="E14" s="174" t="s">
        <v>113</v>
      </c>
      <c r="F14" s="164"/>
      <c r="G14" s="164"/>
      <c r="H14" s="164"/>
      <c r="I14" s="164"/>
      <c r="J14" s="164"/>
      <c r="K14" s="164"/>
      <c r="L14" s="164"/>
      <c r="M14" s="164"/>
      <c r="N14" s="164"/>
      <c r="O14" s="164"/>
      <c r="P14" s="164"/>
      <c r="Q14" s="164"/>
      <c r="R14" s="164"/>
      <c r="S14" s="164"/>
      <c r="T14" s="164"/>
      <c r="U14" s="164"/>
      <c r="V14" s="164"/>
      <c r="W14" s="164"/>
      <c r="X14" s="164"/>
      <c r="Y14" s="164"/>
      <c r="Z14" s="165"/>
    </row>
    <row r="15" ht="15.75" customHeight="1">
      <c r="A15" s="176">
        <v>2021.0</v>
      </c>
      <c r="B15" s="176" t="s">
        <v>114</v>
      </c>
      <c r="C15" s="180" t="s">
        <v>115</v>
      </c>
      <c r="D15" s="170" t="s">
        <v>116</v>
      </c>
      <c r="E15" s="181" t="s">
        <v>117</v>
      </c>
      <c r="F15" s="170"/>
      <c r="G15" s="170"/>
      <c r="H15" s="170"/>
      <c r="I15" s="170"/>
      <c r="J15" s="170"/>
      <c r="K15" s="170"/>
      <c r="L15" s="170"/>
      <c r="M15" s="170"/>
      <c r="N15" s="170"/>
      <c r="O15" s="170"/>
      <c r="P15" s="170"/>
      <c r="Q15" s="170"/>
      <c r="R15" s="170"/>
      <c r="S15" s="170"/>
      <c r="T15" s="170"/>
      <c r="U15" s="170"/>
      <c r="V15" s="170"/>
      <c r="W15" s="170"/>
      <c r="X15" s="170"/>
      <c r="Y15" s="170"/>
      <c r="Z15" s="156"/>
    </row>
    <row r="16" ht="15.75" customHeight="1">
      <c r="A16" s="44"/>
      <c r="B16" s="44"/>
      <c r="C16" s="180" t="s">
        <v>118</v>
      </c>
      <c r="D16" s="170" t="s">
        <v>119</v>
      </c>
      <c r="E16" s="181" t="s">
        <v>120</v>
      </c>
      <c r="F16" s="170"/>
      <c r="G16" s="170"/>
      <c r="H16" s="170"/>
      <c r="I16" s="170"/>
      <c r="J16" s="170"/>
      <c r="K16" s="170"/>
      <c r="L16" s="170"/>
      <c r="M16" s="170"/>
      <c r="N16" s="170"/>
      <c r="O16" s="170"/>
      <c r="P16" s="170"/>
      <c r="Q16" s="170"/>
      <c r="R16" s="170"/>
      <c r="S16" s="170"/>
      <c r="T16" s="170"/>
      <c r="U16" s="170"/>
      <c r="V16" s="170"/>
      <c r="W16" s="170"/>
      <c r="X16" s="170"/>
      <c r="Y16" s="170"/>
      <c r="Z16" s="156"/>
    </row>
    <row r="17" ht="15.75" customHeight="1">
      <c r="A17" s="44"/>
      <c r="B17" s="44"/>
      <c r="C17" s="180" t="s">
        <v>121</v>
      </c>
      <c r="D17" s="170" t="s">
        <v>122</v>
      </c>
      <c r="E17" s="181"/>
      <c r="F17" s="170"/>
      <c r="G17" s="170"/>
      <c r="H17" s="170"/>
      <c r="I17" s="170"/>
      <c r="J17" s="170"/>
      <c r="K17" s="170"/>
      <c r="L17" s="170"/>
      <c r="M17" s="170"/>
      <c r="N17" s="170"/>
      <c r="O17" s="170"/>
      <c r="P17" s="170"/>
      <c r="Q17" s="170"/>
      <c r="R17" s="170"/>
      <c r="S17" s="170"/>
      <c r="T17" s="170"/>
      <c r="U17" s="170"/>
      <c r="V17" s="170"/>
      <c r="W17" s="170"/>
      <c r="X17" s="170"/>
      <c r="Y17" s="170"/>
      <c r="Z17" s="156"/>
    </row>
    <row r="18" ht="15.75" customHeight="1">
      <c r="A18" s="44"/>
      <c r="B18" s="44"/>
      <c r="C18" s="170" t="s">
        <v>123</v>
      </c>
      <c r="D18" s="170" t="s">
        <v>124</v>
      </c>
      <c r="E18" s="181" t="s">
        <v>125</v>
      </c>
      <c r="F18" s="170"/>
      <c r="G18" s="170"/>
      <c r="H18" s="170"/>
      <c r="I18" s="170"/>
      <c r="J18" s="170"/>
      <c r="K18" s="170"/>
      <c r="L18" s="170"/>
      <c r="M18" s="170"/>
      <c r="N18" s="170"/>
      <c r="O18" s="170"/>
      <c r="P18" s="170"/>
      <c r="Q18" s="170"/>
      <c r="R18" s="170"/>
      <c r="S18" s="170"/>
      <c r="T18" s="170"/>
      <c r="U18" s="170"/>
      <c r="V18" s="170"/>
      <c r="W18" s="170"/>
      <c r="X18" s="170"/>
      <c r="Y18" s="170"/>
      <c r="Z18" s="156"/>
    </row>
    <row r="19" ht="15.75" customHeight="1">
      <c r="A19" s="44"/>
      <c r="B19" s="44"/>
      <c r="C19" s="170" t="s">
        <v>87</v>
      </c>
      <c r="D19" s="170" t="s">
        <v>126</v>
      </c>
      <c r="E19" s="181" t="s">
        <v>127</v>
      </c>
      <c r="F19" s="170"/>
      <c r="G19" s="170"/>
      <c r="H19" s="170"/>
      <c r="I19" s="170"/>
      <c r="J19" s="170"/>
      <c r="K19" s="170"/>
      <c r="L19" s="170"/>
      <c r="M19" s="170"/>
      <c r="N19" s="170"/>
      <c r="O19" s="170"/>
      <c r="P19" s="170"/>
      <c r="Q19" s="170"/>
      <c r="R19" s="170"/>
      <c r="S19" s="170"/>
      <c r="T19" s="170"/>
      <c r="U19" s="170"/>
      <c r="V19" s="170"/>
      <c r="W19" s="170"/>
      <c r="X19" s="170"/>
      <c r="Y19" s="170"/>
      <c r="Z19" s="156"/>
    </row>
    <row r="20" ht="15.75" customHeight="1">
      <c r="A20" s="44"/>
      <c r="B20" s="44"/>
      <c r="C20" s="180" t="s">
        <v>128</v>
      </c>
      <c r="D20" s="170" t="s">
        <v>129</v>
      </c>
      <c r="E20" s="181" t="s">
        <v>130</v>
      </c>
      <c r="F20" s="170"/>
      <c r="G20" s="170"/>
      <c r="H20" s="170"/>
      <c r="I20" s="170"/>
      <c r="J20" s="170"/>
      <c r="K20" s="170"/>
      <c r="L20" s="170"/>
      <c r="M20" s="170"/>
      <c r="N20" s="170"/>
      <c r="O20" s="170"/>
      <c r="P20" s="170"/>
      <c r="Q20" s="170"/>
      <c r="R20" s="170"/>
      <c r="S20" s="170"/>
      <c r="T20" s="170"/>
      <c r="U20" s="170"/>
      <c r="V20" s="170"/>
      <c r="W20" s="170"/>
      <c r="X20" s="170"/>
      <c r="Y20" s="170"/>
      <c r="Z20" s="156"/>
    </row>
    <row r="21" ht="15.75" customHeight="1">
      <c r="A21" s="44"/>
      <c r="B21" s="44"/>
      <c r="C21" s="170" t="s">
        <v>131</v>
      </c>
      <c r="D21" s="170" t="s">
        <v>132</v>
      </c>
      <c r="E21" s="181" t="s">
        <v>133</v>
      </c>
      <c r="F21" s="170"/>
      <c r="G21" s="170"/>
      <c r="H21" s="170"/>
      <c r="I21" s="170"/>
      <c r="J21" s="170"/>
      <c r="K21" s="170"/>
      <c r="L21" s="170"/>
      <c r="M21" s="170"/>
      <c r="N21" s="170"/>
      <c r="O21" s="170"/>
      <c r="P21" s="170"/>
      <c r="Q21" s="170"/>
      <c r="R21" s="170"/>
      <c r="S21" s="170"/>
      <c r="T21" s="170"/>
      <c r="U21" s="170"/>
      <c r="V21" s="170"/>
      <c r="W21" s="170"/>
      <c r="X21" s="170"/>
      <c r="Y21" s="170"/>
      <c r="Z21" s="156"/>
    </row>
    <row r="22" ht="15.75" customHeight="1">
      <c r="A22" s="44"/>
      <c r="B22" s="44"/>
      <c r="C22" s="180" t="s">
        <v>134</v>
      </c>
      <c r="D22" s="170" t="s">
        <v>135</v>
      </c>
      <c r="E22" s="181" t="s">
        <v>136</v>
      </c>
      <c r="F22" s="170"/>
      <c r="G22" s="170"/>
      <c r="H22" s="170"/>
      <c r="I22" s="170"/>
      <c r="J22" s="170"/>
      <c r="K22" s="170"/>
      <c r="L22" s="170"/>
      <c r="M22" s="170"/>
      <c r="N22" s="170"/>
      <c r="O22" s="170"/>
      <c r="P22" s="170"/>
      <c r="Q22" s="170"/>
      <c r="R22" s="170"/>
      <c r="S22" s="170"/>
      <c r="T22" s="170"/>
      <c r="U22" s="170"/>
      <c r="V22" s="170"/>
      <c r="W22" s="170"/>
      <c r="X22" s="170"/>
      <c r="Y22" s="170"/>
      <c r="Z22" s="156"/>
    </row>
    <row r="23" ht="15.75" customHeight="1">
      <c r="A23" s="68"/>
      <c r="B23" s="68"/>
      <c r="C23" s="180" t="s">
        <v>137</v>
      </c>
      <c r="D23" s="170" t="s">
        <v>138</v>
      </c>
      <c r="E23" s="181" t="s">
        <v>139</v>
      </c>
      <c r="F23" s="170"/>
      <c r="G23" s="170"/>
      <c r="H23" s="170"/>
      <c r="I23" s="170"/>
      <c r="J23" s="170"/>
      <c r="K23" s="170"/>
      <c r="L23" s="170"/>
      <c r="M23" s="170"/>
      <c r="N23" s="170"/>
      <c r="O23" s="170"/>
      <c r="P23" s="170"/>
      <c r="Q23" s="170"/>
      <c r="R23" s="170"/>
      <c r="S23" s="170"/>
      <c r="T23" s="170"/>
      <c r="U23" s="170"/>
      <c r="V23" s="170"/>
      <c r="W23" s="170"/>
      <c r="X23" s="170"/>
      <c r="Y23" s="170"/>
      <c r="Z23" s="156"/>
    </row>
    <row r="24" ht="15.75" customHeight="1">
      <c r="A24" s="182">
        <v>44189.0</v>
      </c>
      <c r="B24" s="173" t="s">
        <v>114</v>
      </c>
      <c r="C24" s="163" t="s">
        <v>140</v>
      </c>
      <c r="D24" s="163" t="s">
        <v>141</v>
      </c>
      <c r="E24" s="162" t="s">
        <v>142</v>
      </c>
      <c r="F24" s="164"/>
      <c r="G24" s="164"/>
      <c r="H24" s="164"/>
      <c r="I24" s="164"/>
      <c r="J24" s="164"/>
      <c r="K24" s="164"/>
      <c r="L24" s="164"/>
      <c r="M24" s="164"/>
      <c r="N24" s="164"/>
      <c r="O24" s="164"/>
      <c r="P24" s="164"/>
      <c r="Q24" s="164"/>
      <c r="R24" s="164"/>
      <c r="S24" s="164"/>
      <c r="T24" s="164"/>
      <c r="U24" s="164"/>
      <c r="V24" s="164"/>
      <c r="W24" s="164"/>
      <c r="X24" s="164"/>
      <c r="Y24" s="164"/>
      <c r="Z24" s="165"/>
    </row>
    <row r="25" ht="15.75" customHeight="1">
      <c r="A25" s="44"/>
      <c r="B25" s="44"/>
      <c r="C25" s="163" t="s">
        <v>143</v>
      </c>
      <c r="D25" s="163" t="s">
        <v>144</v>
      </c>
      <c r="E25" s="162" t="s">
        <v>145</v>
      </c>
      <c r="F25" s="164"/>
      <c r="G25" s="164"/>
      <c r="H25" s="164"/>
      <c r="I25" s="164"/>
      <c r="J25" s="164"/>
      <c r="K25" s="164"/>
      <c r="L25" s="164"/>
      <c r="M25" s="164"/>
      <c r="N25" s="164"/>
      <c r="O25" s="164"/>
      <c r="P25" s="164"/>
      <c r="Q25" s="164"/>
      <c r="R25" s="164"/>
      <c r="S25" s="164"/>
      <c r="T25" s="164"/>
      <c r="U25" s="164"/>
      <c r="V25" s="164"/>
      <c r="W25" s="164"/>
      <c r="X25" s="164"/>
      <c r="Y25" s="164"/>
      <c r="Z25" s="165"/>
    </row>
    <row r="26" ht="15.75" customHeight="1">
      <c r="A26" s="44"/>
      <c r="B26" s="44"/>
      <c r="C26" s="163" t="s">
        <v>146</v>
      </c>
      <c r="D26" s="163" t="s">
        <v>147</v>
      </c>
      <c r="E26" s="162" t="s">
        <v>148</v>
      </c>
      <c r="F26" s="164"/>
      <c r="G26" s="164"/>
      <c r="H26" s="164"/>
      <c r="I26" s="164"/>
      <c r="J26" s="164"/>
      <c r="K26" s="164"/>
      <c r="L26" s="164"/>
      <c r="M26" s="164"/>
      <c r="N26" s="164"/>
      <c r="O26" s="164"/>
      <c r="P26" s="164"/>
      <c r="Q26" s="164"/>
      <c r="R26" s="164"/>
      <c r="S26" s="164"/>
      <c r="T26" s="164"/>
      <c r="U26" s="164"/>
      <c r="V26" s="164"/>
      <c r="W26" s="164"/>
      <c r="X26" s="164"/>
      <c r="Y26" s="164"/>
      <c r="Z26" s="165"/>
    </row>
    <row r="27" ht="15.75" customHeight="1">
      <c r="A27" s="44"/>
      <c r="B27" s="44"/>
      <c r="C27" s="162" t="s">
        <v>149</v>
      </c>
      <c r="D27" s="163" t="s">
        <v>150</v>
      </c>
      <c r="E27" s="183" t="s">
        <v>151</v>
      </c>
      <c r="F27" s="164"/>
      <c r="G27" s="164"/>
      <c r="H27" s="164"/>
      <c r="I27" s="164"/>
      <c r="J27" s="164"/>
      <c r="K27" s="164"/>
      <c r="L27" s="164"/>
      <c r="M27" s="164"/>
      <c r="N27" s="164"/>
      <c r="O27" s="164"/>
      <c r="P27" s="164"/>
      <c r="Q27" s="164"/>
      <c r="R27" s="164"/>
      <c r="S27" s="164"/>
      <c r="T27" s="164"/>
      <c r="U27" s="164"/>
      <c r="V27" s="164"/>
      <c r="W27" s="164"/>
      <c r="X27" s="164"/>
      <c r="Y27" s="164"/>
      <c r="Z27" s="165"/>
    </row>
    <row r="28" ht="15.75" customHeight="1">
      <c r="A28" s="44"/>
      <c r="B28" s="44"/>
      <c r="C28" s="162" t="s">
        <v>152</v>
      </c>
      <c r="D28" s="163" t="s">
        <v>153</v>
      </c>
      <c r="E28" s="162" t="s">
        <v>154</v>
      </c>
      <c r="F28" s="164"/>
      <c r="G28" s="164"/>
      <c r="H28" s="164"/>
      <c r="I28" s="164"/>
      <c r="J28" s="164"/>
      <c r="K28" s="164"/>
      <c r="L28" s="164"/>
      <c r="M28" s="164"/>
      <c r="N28" s="164"/>
      <c r="O28" s="164"/>
      <c r="P28" s="164"/>
      <c r="Q28" s="164"/>
      <c r="R28" s="164"/>
      <c r="S28" s="164"/>
      <c r="T28" s="164"/>
      <c r="U28" s="164"/>
      <c r="V28" s="164"/>
      <c r="W28" s="164"/>
      <c r="X28" s="164"/>
      <c r="Y28" s="164"/>
      <c r="Z28" s="165"/>
    </row>
    <row r="29" ht="15.75" customHeight="1">
      <c r="A29" s="44"/>
      <c r="B29" s="44"/>
      <c r="C29" s="162" t="s">
        <v>155</v>
      </c>
      <c r="D29" s="162" t="s">
        <v>156</v>
      </c>
      <c r="E29" s="162" t="s">
        <v>157</v>
      </c>
      <c r="F29" s="162"/>
      <c r="G29" s="164"/>
      <c r="H29" s="164"/>
      <c r="I29" s="164"/>
      <c r="J29" s="164"/>
      <c r="K29" s="164"/>
      <c r="L29" s="164"/>
      <c r="M29" s="164"/>
      <c r="N29" s="164"/>
      <c r="O29" s="164"/>
      <c r="P29" s="164"/>
      <c r="Q29" s="164"/>
      <c r="R29" s="164"/>
      <c r="S29" s="164"/>
      <c r="T29" s="164"/>
      <c r="U29" s="164"/>
      <c r="V29" s="164"/>
      <c r="W29" s="164"/>
      <c r="X29" s="164"/>
      <c r="Y29" s="164"/>
      <c r="Z29" s="165"/>
    </row>
    <row r="30" ht="15.75" customHeight="1">
      <c r="A30" s="68"/>
      <c r="B30" s="68"/>
      <c r="C30" s="162" t="s">
        <v>158</v>
      </c>
      <c r="D30" s="162" t="s">
        <v>159</v>
      </c>
      <c r="E30" s="162" t="s">
        <v>160</v>
      </c>
      <c r="F30" s="164"/>
      <c r="G30" s="164"/>
      <c r="H30" s="164"/>
      <c r="I30" s="164"/>
      <c r="J30" s="164"/>
      <c r="K30" s="164"/>
      <c r="L30" s="164"/>
      <c r="M30" s="164"/>
      <c r="N30" s="164"/>
      <c r="O30" s="164"/>
      <c r="P30" s="164"/>
      <c r="Q30" s="164"/>
      <c r="R30" s="164"/>
      <c r="S30" s="164"/>
      <c r="T30" s="164"/>
      <c r="U30" s="164"/>
      <c r="V30" s="164"/>
      <c r="W30" s="164"/>
      <c r="X30" s="164"/>
      <c r="Y30" s="164"/>
      <c r="Z30" s="165"/>
    </row>
    <row r="31" ht="15.75" customHeight="1">
      <c r="A31" s="184">
        <v>2019.0</v>
      </c>
      <c r="B31" s="184" t="s">
        <v>114</v>
      </c>
      <c r="C31" s="170" t="s">
        <v>42</v>
      </c>
      <c r="D31" s="170"/>
      <c r="E31" s="181"/>
      <c r="F31" s="170"/>
      <c r="G31" s="170"/>
      <c r="H31" s="170"/>
      <c r="I31" s="170"/>
      <c r="J31" s="170"/>
      <c r="K31" s="170"/>
      <c r="L31" s="170"/>
      <c r="M31" s="170"/>
      <c r="N31" s="170"/>
      <c r="O31" s="170"/>
      <c r="P31" s="170"/>
      <c r="Q31" s="170"/>
      <c r="R31" s="170"/>
      <c r="S31" s="170"/>
      <c r="T31" s="170"/>
      <c r="U31" s="170"/>
      <c r="V31" s="170"/>
      <c r="W31" s="170"/>
      <c r="X31" s="170"/>
      <c r="Y31" s="170"/>
      <c r="Z31" s="156"/>
    </row>
    <row r="32" ht="15.75" customHeight="1">
      <c r="A32" s="179">
        <v>2018.0</v>
      </c>
      <c r="B32" s="179" t="s">
        <v>114</v>
      </c>
      <c r="C32" s="164" t="s">
        <v>42</v>
      </c>
      <c r="D32" s="164"/>
      <c r="E32" s="174"/>
      <c r="F32" s="164"/>
      <c r="G32" s="164"/>
      <c r="H32" s="164"/>
      <c r="I32" s="164"/>
      <c r="J32" s="164"/>
      <c r="K32" s="164"/>
      <c r="L32" s="164"/>
      <c r="M32" s="164"/>
      <c r="N32" s="164"/>
      <c r="O32" s="164"/>
      <c r="P32" s="164"/>
      <c r="Q32" s="164"/>
      <c r="R32" s="164"/>
      <c r="S32" s="164"/>
      <c r="T32" s="164"/>
      <c r="U32" s="164"/>
      <c r="V32" s="164"/>
      <c r="W32" s="164"/>
      <c r="X32" s="164"/>
      <c r="Y32" s="164"/>
      <c r="Z32" s="165"/>
    </row>
    <row r="33" ht="15.75" customHeight="1">
      <c r="A33" s="185">
        <v>43096.0</v>
      </c>
      <c r="B33" s="176" t="s">
        <v>114</v>
      </c>
      <c r="C33" s="169" t="s">
        <v>161</v>
      </c>
      <c r="D33" s="169" t="s">
        <v>162</v>
      </c>
      <c r="E33" s="168" t="s">
        <v>163</v>
      </c>
      <c r="F33" s="170"/>
      <c r="G33" s="170"/>
      <c r="H33" s="170"/>
      <c r="I33" s="170"/>
      <c r="J33" s="170"/>
      <c r="K33" s="170"/>
      <c r="L33" s="170"/>
      <c r="M33" s="170"/>
      <c r="N33" s="170"/>
      <c r="O33" s="170"/>
      <c r="P33" s="170"/>
      <c r="Q33" s="170"/>
      <c r="R33" s="170"/>
      <c r="S33" s="170"/>
      <c r="T33" s="170"/>
      <c r="U33" s="170"/>
      <c r="V33" s="170"/>
      <c r="W33" s="170"/>
      <c r="X33" s="170"/>
      <c r="Y33" s="170"/>
      <c r="Z33" s="156"/>
    </row>
    <row r="34" ht="15.75" customHeight="1">
      <c r="A34" s="68"/>
      <c r="B34" s="68"/>
      <c r="C34" s="169" t="s">
        <v>164</v>
      </c>
      <c r="D34" s="168" t="s">
        <v>165</v>
      </c>
      <c r="E34" s="168" t="s">
        <v>166</v>
      </c>
      <c r="F34" s="170"/>
      <c r="G34" s="170"/>
      <c r="H34" s="170"/>
      <c r="I34" s="170"/>
      <c r="J34" s="170"/>
      <c r="K34" s="170"/>
      <c r="L34" s="170"/>
      <c r="M34" s="170"/>
      <c r="N34" s="170"/>
      <c r="O34" s="170"/>
      <c r="P34" s="170"/>
      <c r="Q34" s="170"/>
      <c r="R34" s="170"/>
      <c r="S34" s="170"/>
      <c r="T34" s="170"/>
      <c r="U34" s="170"/>
      <c r="V34" s="170"/>
      <c r="W34" s="170"/>
      <c r="X34" s="170"/>
      <c r="Y34" s="170"/>
      <c r="Z34" s="156"/>
    </row>
    <row r="35" ht="15.75" customHeight="1">
      <c r="A35" s="182">
        <v>42734.0</v>
      </c>
      <c r="B35" s="173" t="s">
        <v>114</v>
      </c>
      <c r="C35" s="163" t="s">
        <v>167</v>
      </c>
      <c r="D35" s="163" t="s">
        <v>122</v>
      </c>
      <c r="E35" s="183" t="s">
        <v>168</v>
      </c>
      <c r="F35" s="164"/>
      <c r="G35" s="164"/>
      <c r="H35" s="164"/>
      <c r="I35" s="164"/>
      <c r="J35" s="164"/>
      <c r="K35" s="164"/>
      <c r="L35" s="164"/>
      <c r="M35" s="164"/>
      <c r="N35" s="164"/>
      <c r="O35" s="164"/>
      <c r="P35" s="164"/>
      <c r="Q35" s="164"/>
      <c r="R35" s="164"/>
      <c r="S35" s="164"/>
      <c r="T35" s="164"/>
      <c r="U35" s="164"/>
      <c r="V35" s="164"/>
      <c r="W35" s="164"/>
      <c r="X35" s="164"/>
      <c r="Y35" s="164"/>
      <c r="Z35" s="165"/>
    </row>
    <row r="36" ht="15.75" customHeight="1">
      <c r="A36" s="44"/>
      <c r="B36" s="44"/>
      <c r="C36" s="163" t="s">
        <v>102</v>
      </c>
      <c r="D36" s="163" t="s">
        <v>169</v>
      </c>
      <c r="E36" s="183" t="s">
        <v>170</v>
      </c>
      <c r="F36" s="164"/>
      <c r="G36" s="164"/>
      <c r="H36" s="164"/>
      <c r="I36" s="164"/>
      <c r="J36" s="164"/>
      <c r="K36" s="164"/>
      <c r="L36" s="164"/>
      <c r="M36" s="164"/>
      <c r="N36" s="164"/>
      <c r="O36" s="164"/>
      <c r="P36" s="164"/>
      <c r="Q36" s="164"/>
      <c r="R36" s="164"/>
      <c r="S36" s="164"/>
      <c r="T36" s="164"/>
      <c r="U36" s="164"/>
      <c r="V36" s="164"/>
      <c r="W36" s="164"/>
      <c r="X36" s="164"/>
      <c r="Y36" s="164"/>
      <c r="Z36" s="165"/>
    </row>
    <row r="37" ht="15.75" customHeight="1">
      <c r="A37" s="44"/>
      <c r="B37" s="44"/>
      <c r="C37" s="163" t="s">
        <v>171</v>
      </c>
      <c r="D37" s="163" t="s">
        <v>172</v>
      </c>
      <c r="E37" s="183" t="s">
        <v>173</v>
      </c>
      <c r="F37" s="164"/>
      <c r="G37" s="164"/>
      <c r="H37" s="164"/>
      <c r="I37" s="164"/>
      <c r="J37" s="164"/>
      <c r="K37" s="164"/>
      <c r="L37" s="164"/>
      <c r="M37" s="164"/>
      <c r="N37" s="164"/>
      <c r="O37" s="164"/>
      <c r="P37" s="164"/>
      <c r="Q37" s="164"/>
      <c r="R37" s="164"/>
      <c r="S37" s="164"/>
      <c r="T37" s="164"/>
      <c r="U37" s="164"/>
      <c r="V37" s="164"/>
      <c r="W37" s="164"/>
      <c r="X37" s="164"/>
      <c r="Y37" s="164"/>
      <c r="Z37" s="165"/>
    </row>
    <row r="38" ht="15.75" customHeight="1">
      <c r="A38" s="44"/>
      <c r="B38" s="44"/>
      <c r="C38" s="163" t="s">
        <v>174</v>
      </c>
      <c r="D38" s="163" t="s">
        <v>175</v>
      </c>
      <c r="E38" s="183" t="s">
        <v>176</v>
      </c>
      <c r="F38" s="164"/>
      <c r="G38" s="164"/>
      <c r="H38" s="164"/>
      <c r="I38" s="164"/>
      <c r="J38" s="164"/>
      <c r="K38" s="164"/>
      <c r="L38" s="164"/>
      <c r="M38" s="164"/>
      <c r="N38" s="164"/>
      <c r="O38" s="164"/>
      <c r="P38" s="164"/>
      <c r="Q38" s="164"/>
      <c r="R38" s="164"/>
      <c r="S38" s="164"/>
      <c r="T38" s="164"/>
      <c r="U38" s="164"/>
      <c r="V38" s="164"/>
      <c r="W38" s="164"/>
      <c r="X38" s="164"/>
      <c r="Y38" s="164"/>
      <c r="Z38" s="165"/>
    </row>
    <row r="39" ht="15.75" customHeight="1">
      <c r="A39" s="44"/>
      <c r="B39" s="44"/>
      <c r="C39" s="163" t="s">
        <v>177</v>
      </c>
      <c r="D39" s="163" t="s">
        <v>178</v>
      </c>
      <c r="E39" s="183" t="s">
        <v>179</v>
      </c>
      <c r="F39" s="164"/>
      <c r="G39" s="164"/>
      <c r="H39" s="164"/>
      <c r="I39" s="164"/>
      <c r="J39" s="164"/>
      <c r="K39" s="164"/>
      <c r="L39" s="164"/>
      <c r="M39" s="164"/>
      <c r="N39" s="164"/>
      <c r="O39" s="164"/>
      <c r="P39" s="164"/>
      <c r="Q39" s="164"/>
      <c r="R39" s="164"/>
      <c r="S39" s="164"/>
      <c r="T39" s="164"/>
      <c r="U39" s="164"/>
      <c r="V39" s="164"/>
      <c r="W39" s="164"/>
      <c r="X39" s="164"/>
      <c r="Y39" s="164"/>
      <c r="Z39" s="165"/>
    </row>
    <row r="40" ht="15.75" customHeight="1">
      <c r="A40" s="44"/>
      <c r="B40" s="44"/>
      <c r="C40" s="163" t="s">
        <v>180</v>
      </c>
      <c r="D40" s="163" t="s">
        <v>181</v>
      </c>
      <c r="E40" s="183" t="s">
        <v>182</v>
      </c>
      <c r="F40" s="164"/>
      <c r="G40" s="164"/>
      <c r="H40" s="164"/>
      <c r="I40" s="164"/>
      <c r="J40" s="164"/>
      <c r="K40" s="164"/>
      <c r="L40" s="164"/>
      <c r="M40" s="164"/>
      <c r="N40" s="164"/>
      <c r="O40" s="164"/>
      <c r="P40" s="164"/>
      <c r="Q40" s="164"/>
      <c r="R40" s="164"/>
      <c r="S40" s="164"/>
      <c r="T40" s="164"/>
      <c r="U40" s="164"/>
      <c r="V40" s="164"/>
      <c r="W40" s="164"/>
      <c r="X40" s="164"/>
      <c r="Y40" s="164"/>
      <c r="Z40" s="165"/>
    </row>
    <row r="41" ht="15.75" customHeight="1">
      <c r="A41" s="68"/>
      <c r="B41" s="68"/>
      <c r="C41" s="163" t="s">
        <v>183</v>
      </c>
      <c r="D41" s="163" t="s">
        <v>184</v>
      </c>
      <c r="E41" s="183" t="s">
        <v>185</v>
      </c>
      <c r="F41" s="164"/>
      <c r="G41" s="164"/>
      <c r="H41" s="164"/>
      <c r="I41" s="164"/>
      <c r="J41" s="164"/>
      <c r="K41" s="164"/>
      <c r="L41" s="164"/>
      <c r="M41" s="164"/>
      <c r="N41" s="164"/>
      <c r="O41" s="164"/>
      <c r="P41" s="164"/>
      <c r="Q41" s="164"/>
      <c r="R41" s="164"/>
      <c r="S41" s="164"/>
      <c r="T41" s="164"/>
      <c r="U41" s="164"/>
      <c r="V41" s="164"/>
      <c r="W41" s="164"/>
      <c r="X41" s="164"/>
      <c r="Y41" s="164"/>
      <c r="Z41" s="165"/>
    </row>
    <row r="42" ht="15.75" customHeight="1">
      <c r="A42" s="186">
        <v>2015.0</v>
      </c>
      <c r="B42" s="186" t="s">
        <v>114</v>
      </c>
      <c r="C42" s="170" t="s">
        <v>186</v>
      </c>
      <c r="D42" s="170" t="s">
        <v>187</v>
      </c>
      <c r="E42" s="181" t="s">
        <v>188</v>
      </c>
      <c r="F42" s="170"/>
      <c r="G42" s="170"/>
      <c r="H42" s="170"/>
      <c r="I42" s="170"/>
      <c r="J42" s="170"/>
      <c r="K42" s="170"/>
      <c r="L42" s="170"/>
      <c r="M42" s="170"/>
      <c r="N42" s="170"/>
      <c r="O42" s="170"/>
      <c r="P42" s="170"/>
      <c r="Q42" s="170"/>
      <c r="R42" s="170"/>
      <c r="S42" s="170"/>
      <c r="T42" s="170"/>
      <c r="U42" s="170"/>
      <c r="V42" s="170"/>
      <c r="W42" s="170"/>
      <c r="X42" s="170"/>
      <c r="Y42" s="170"/>
      <c r="Z42" s="156"/>
    </row>
    <row r="43" ht="15.75" customHeight="1">
      <c r="A43" s="68"/>
      <c r="B43" s="68"/>
      <c r="C43" s="170" t="s">
        <v>164</v>
      </c>
      <c r="D43" s="170" t="s">
        <v>189</v>
      </c>
      <c r="E43" s="177" t="s">
        <v>190</v>
      </c>
      <c r="F43" s="170"/>
      <c r="G43" s="170"/>
      <c r="H43" s="170"/>
      <c r="I43" s="170"/>
      <c r="J43" s="170"/>
      <c r="K43" s="170"/>
      <c r="L43" s="170"/>
      <c r="M43" s="170"/>
      <c r="N43" s="170"/>
      <c r="O43" s="170"/>
      <c r="P43" s="170"/>
      <c r="Q43" s="170"/>
      <c r="R43" s="170"/>
      <c r="S43" s="170"/>
      <c r="T43" s="170"/>
      <c r="U43" s="170"/>
      <c r="V43" s="170"/>
      <c r="W43" s="170"/>
      <c r="X43" s="170"/>
      <c r="Y43" s="170"/>
      <c r="Z43" s="156"/>
    </row>
    <row r="44" ht="15.75" customHeight="1">
      <c r="A44" s="187">
        <v>42299.0</v>
      </c>
      <c r="B44" s="188" t="s">
        <v>114</v>
      </c>
      <c r="C44" s="163" t="s">
        <v>191</v>
      </c>
      <c r="D44" s="164" t="s">
        <v>192</v>
      </c>
      <c r="E44" s="162" t="s">
        <v>193</v>
      </c>
      <c r="F44" s="164"/>
      <c r="G44" s="164"/>
      <c r="H44" s="164"/>
      <c r="I44" s="164"/>
      <c r="J44" s="164"/>
      <c r="K44" s="164"/>
      <c r="L44" s="164"/>
      <c r="M44" s="164"/>
      <c r="N44" s="164"/>
      <c r="O44" s="164"/>
      <c r="P44" s="164"/>
      <c r="Q44" s="164"/>
      <c r="R44" s="164"/>
      <c r="S44" s="164"/>
      <c r="T44" s="164"/>
      <c r="U44" s="164"/>
      <c r="V44" s="164"/>
      <c r="W44" s="164"/>
      <c r="X44" s="164"/>
      <c r="Y44" s="164"/>
      <c r="Z44" s="165"/>
    </row>
    <row r="45" ht="15.75" customHeight="1">
      <c r="A45" s="68"/>
      <c r="B45" s="68"/>
      <c r="C45" s="163" t="s">
        <v>164</v>
      </c>
      <c r="D45" s="163" t="s">
        <v>189</v>
      </c>
      <c r="E45" s="162" t="s">
        <v>194</v>
      </c>
      <c r="F45" s="164"/>
      <c r="G45" s="164"/>
      <c r="H45" s="164"/>
      <c r="I45" s="164"/>
      <c r="J45" s="164"/>
      <c r="K45" s="164"/>
      <c r="L45" s="164"/>
      <c r="M45" s="164"/>
      <c r="N45" s="164"/>
      <c r="O45" s="164"/>
      <c r="P45" s="164"/>
      <c r="Q45" s="164"/>
      <c r="R45" s="164"/>
      <c r="S45" s="164"/>
      <c r="T45" s="164"/>
      <c r="U45" s="164"/>
      <c r="V45" s="164"/>
      <c r="W45" s="164"/>
      <c r="X45" s="164"/>
      <c r="Y45" s="164"/>
      <c r="Z45" s="165"/>
    </row>
    <row r="46" ht="15.75" customHeight="1">
      <c r="A46" s="184">
        <v>2014.0</v>
      </c>
      <c r="B46" s="184" t="s">
        <v>114</v>
      </c>
      <c r="C46" s="170" t="s">
        <v>42</v>
      </c>
      <c r="D46" s="170"/>
      <c r="E46" s="177"/>
      <c r="F46" s="170"/>
      <c r="G46" s="170"/>
      <c r="H46" s="170"/>
      <c r="I46" s="170"/>
      <c r="J46" s="170"/>
      <c r="K46" s="170"/>
      <c r="L46" s="170"/>
      <c r="M46" s="170"/>
      <c r="N46" s="170"/>
      <c r="O46" s="170"/>
      <c r="P46" s="170"/>
      <c r="Q46" s="170"/>
      <c r="R46" s="170"/>
      <c r="S46" s="170"/>
      <c r="T46" s="170"/>
      <c r="U46" s="170"/>
      <c r="V46" s="170"/>
      <c r="W46" s="170"/>
      <c r="X46" s="170"/>
      <c r="Y46" s="170"/>
      <c r="Z46" s="156"/>
    </row>
    <row r="47" ht="15.75" customHeight="1">
      <c r="A47" s="179">
        <v>2013.0</v>
      </c>
      <c r="B47" s="179" t="s">
        <v>114</v>
      </c>
      <c r="C47" s="164" t="s">
        <v>42</v>
      </c>
      <c r="D47" s="164"/>
      <c r="E47" s="189"/>
      <c r="F47" s="164"/>
      <c r="G47" s="164"/>
      <c r="H47" s="164"/>
      <c r="I47" s="164"/>
      <c r="J47" s="164"/>
      <c r="K47" s="164"/>
      <c r="L47" s="164"/>
      <c r="M47" s="164"/>
      <c r="N47" s="164"/>
      <c r="O47" s="164"/>
      <c r="P47" s="164"/>
      <c r="Q47" s="164"/>
      <c r="R47" s="164"/>
      <c r="S47" s="164"/>
      <c r="T47" s="164"/>
      <c r="U47" s="164"/>
      <c r="V47" s="164"/>
      <c r="W47" s="164"/>
      <c r="X47" s="164"/>
      <c r="Y47" s="164"/>
      <c r="Z47" s="165"/>
    </row>
    <row r="48" ht="15.75" customHeight="1">
      <c r="A48" s="184">
        <v>2012.0</v>
      </c>
      <c r="B48" s="184" t="s">
        <v>114</v>
      </c>
      <c r="C48" s="169" t="s">
        <v>195</v>
      </c>
      <c r="D48" s="170"/>
      <c r="E48" s="177"/>
      <c r="F48" s="170"/>
      <c r="G48" s="170"/>
      <c r="H48" s="170"/>
      <c r="I48" s="170"/>
      <c r="J48" s="170"/>
      <c r="K48" s="170"/>
      <c r="L48" s="170"/>
      <c r="M48" s="170"/>
      <c r="N48" s="170"/>
      <c r="O48" s="170"/>
      <c r="P48" s="170"/>
      <c r="Q48" s="170"/>
      <c r="R48" s="170"/>
      <c r="S48" s="170"/>
      <c r="T48" s="170"/>
      <c r="U48" s="170"/>
      <c r="V48" s="170"/>
      <c r="W48" s="170"/>
      <c r="X48" s="170"/>
      <c r="Y48" s="170"/>
      <c r="Z48" s="156"/>
    </row>
    <row r="49" ht="15.75" customHeight="1">
      <c r="A49" s="179">
        <v>2011.0</v>
      </c>
      <c r="B49" s="179" t="s">
        <v>114</v>
      </c>
      <c r="C49" s="163" t="s">
        <v>195</v>
      </c>
      <c r="D49" s="164"/>
      <c r="E49" s="189"/>
      <c r="F49" s="164"/>
      <c r="G49" s="164"/>
      <c r="H49" s="164"/>
      <c r="I49" s="164"/>
      <c r="J49" s="164"/>
      <c r="K49" s="164"/>
      <c r="L49" s="164"/>
      <c r="M49" s="164"/>
      <c r="N49" s="164"/>
      <c r="O49" s="164"/>
      <c r="P49" s="164"/>
      <c r="Q49" s="164"/>
      <c r="R49" s="164"/>
      <c r="S49" s="164"/>
      <c r="T49" s="164"/>
      <c r="U49" s="164"/>
      <c r="V49" s="164"/>
      <c r="W49" s="164"/>
      <c r="X49" s="164"/>
      <c r="Y49" s="164"/>
      <c r="Z49" s="165"/>
    </row>
    <row r="50" ht="15.75" customHeight="1">
      <c r="A50" s="184">
        <v>2010.0</v>
      </c>
      <c r="B50" s="184" t="s">
        <v>196</v>
      </c>
      <c r="C50" s="170" t="s">
        <v>197</v>
      </c>
      <c r="D50" s="170" t="s">
        <v>198</v>
      </c>
      <c r="E50" s="177" t="s">
        <v>199</v>
      </c>
      <c r="F50" s="170"/>
      <c r="G50" s="170"/>
      <c r="H50" s="170"/>
      <c r="I50" s="170"/>
      <c r="J50" s="170"/>
      <c r="K50" s="170"/>
      <c r="L50" s="170"/>
      <c r="M50" s="170"/>
      <c r="N50" s="170"/>
      <c r="O50" s="170"/>
      <c r="P50" s="170"/>
      <c r="Q50" s="170"/>
      <c r="R50" s="170"/>
      <c r="S50" s="170"/>
      <c r="T50" s="170"/>
      <c r="U50" s="170"/>
      <c r="V50" s="170"/>
      <c r="W50" s="170"/>
      <c r="X50" s="170"/>
      <c r="Y50" s="170"/>
      <c r="Z50" s="156"/>
    </row>
    <row r="51" ht="15.75" customHeight="1">
      <c r="A51" s="179">
        <v>2009.0</v>
      </c>
      <c r="B51" s="190" t="s">
        <v>196</v>
      </c>
      <c r="C51" s="163" t="s">
        <v>42</v>
      </c>
      <c r="D51" s="164"/>
      <c r="E51" s="189"/>
      <c r="F51" s="164"/>
      <c r="G51" s="164"/>
      <c r="H51" s="164"/>
      <c r="I51" s="164"/>
      <c r="J51" s="164"/>
      <c r="K51" s="164"/>
      <c r="L51" s="164"/>
      <c r="M51" s="164"/>
      <c r="N51" s="164"/>
      <c r="O51" s="164"/>
      <c r="P51" s="164"/>
      <c r="Q51" s="164"/>
      <c r="R51" s="164"/>
      <c r="S51" s="164"/>
      <c r="T51" s="164"/>
      <c r="U51" s="164"/>
      <c r="V51" s="164"/>
      <c r="W51" s="164"/>
      <c r="X51" s="164"/>
      <c r="Y51" s="164"/>
      <c r="Z51" s="165"/>
    </row>
    <row r="52" ht="15.75" customHeight="1">
      <c r="A52" s="176">
        <v>2008.0</v>
      </c>
      <c r="B52" s="167" t="s">
        <v>196</v>
      </c>
      <c r="C52" s="169" t="s">
        <v>200</v>
      </c>
      <c r="D52" s="169" t="s">
        <v>201</v>
      </c>
      <c r="E52" s="191" t="s">
        <v>202</v>
      </c>
      <c r="F52" s="170"/>
      <c r="G52" s="170"/>
      <c r="H52" s="170"/>
      <c r="I52" s="170"/>
      <c r="J52" s="170"/>
      <c r="K52" s="170"/>
      <c r="L52" s="170"/>
      <c r="M52" s="170"/>
      <c r="N52" s="170"/>
      <c r="O52" s="170"/>
      <c r="P52" s="170"/>
      <c r="Q52" s="170"/>
      <c r="R52" s="170"/>
      <c r="S52" s="170"/>
      <c r="T52" s="170"/>
      <c r="U52" s="170"/>
      <c r="V52" s="170"/>
      <c r="W52" s="170"/>
      <c r="X52" s="170"/>
      <c r="Y52" s="170"/>
      <c r="Z52" s="156"/>
    </row>
    <row r="53" ht="15.75" customHeight="1">
      <c r="A53" s="68"/>
      <c r="B53" s="68"/>
      <c r="C53" s="169" t="s">
        <v>203</v>
      </c>
      <c r="D53" s="169" t="s">
        <v>204</v>
      </c>
      <c r="E53" s="191" t="s">
        <v>205</v>
      </c>
      <c r="F53" s="170"/>
      <c r="G53" s="170"/>
      <c r="H53" s="170"/>
      <c r="I53" s="170"/>
      <c r="J53" s="170"/>
      <c r="K53" s="170"/>
      <c r="L53" s="170"/>
      <c r="M53" s="170"/>
      <c r="N53" s="170"/>
      <c r="O53" s="170"/>
      <c r="P53" s="170"/>
      <c r="Q53" s="170"/>
      <c r="R53" s="170"/>
      <c r="S53" s="170"/>
      <c r="T53" s="170"/>
      <c r="U53" s="170"/>
      <c r="V53" s="170"/>
      <c r="W53" s="170"/>
      <c r="X53" s="170"/>
      <c r="Y53" s="170"/>
      <c r="Z53" s="156"/>
    </row>
    <row r="54" ht="15.75" customHeight="1">
      <c r="A54" s="179">
        <v>2007.0</v>
      </c>
      <c r="B54" s="179"/>
      <c r="C54" s="163" t="s">
        <v>195</v>
      </c>
      <c r="D54" s="164"/>
      <c r="E54" s="189"/>
      <c r="F54" s="164"/>
      <c r="G54" s="164"/>
      <c r="H54" s="164"/>
      <c r="I54" s="164"/>
      <c r="J54" s="164"/>
      <c r="K54" s="164"/>
      <c r="L54" s="164"/>
      <c r="M54" s="164"/>
      <c r="N54" s="164"/>
      <c r="O54" s="164"/>
      <c r="P54" s="164"/>
      <c r="Q54" s="164"/>
      <c r="R54" s="164"/>
      <c r="S54" s="164"/>
      <c r="T54" s="164"/>
      <c r="U54" s="164"/>
      <c r="V54" s="164"/>
      <c r="W54" s="164"/>
      <c r="X54" s="164"/>
      <c r="Y54" s="164"/>
      <c r="Z54" s="165"/>
    </row>
    <row r="55" ht="15.75" customHeight="1">
      <c r="A55" s="184">
        <v>2006.0</v>
      </c>
      <c r="B55" s="184"/>
      <c r="C55" s="169" t="s">
        <v>42</v>
      </c>
      <c r="D55" s="170"/>
      <c r="E55" s="177"/>
      <c r="F55" s="170"/>
      <c r="G55" s="170"/>
      <c r="H55" s="170"/>
      <c r="I55" s="170"/>
      <c r="J55" s="170"/>
      <c r="K55" s="170"/>
      <c r="L55" s="170"/>
      <c r="M55" s="170"/>
      <c r="N55" s="170"/>
      <c r="O55" s="170"/>
      <c r="P55" s="170"/>
      <c r="Q55" s="170"/>
      <c r="R55" s="170"/>
      <c r="S55" s="170"/>
      <c r="T55" s="170"/>
      <c r="U55" s="170"/>
      <c r="V55" s="170"/>
      <c r="W55" s="170"/>
      <c r="X55" s="170"/>
      <c r="Y55" s="170"/>
      <c r="Z55" s="156"/>
    </row>
    <row r="56" ht="15.75" customHeight="1">
      <c r="A56" s="192">
        <v>38710.0</v>
      </c>
      <c r="B56" s="190" t="s">
        <v>206</v>
      </c>
      <c r="C56" s="163" t="s">
        <v>207</v>
      </c>
      <c r="D56" s="163" t="s">
        <v>208</v>
      </c>
      <c r="E56" s="193" t="s">
        <v>209</v>
      </c>
      <c r="F56" s="164"/>
      <c r="G56" s="164"/>
      <c r="H56" s="164"/>
      <c r="I56" s="164"/>
      <c r="J56" s="164"/>
      <c r="K56" s="164"/>
      <c r="L56" s="164"/>
      <c r="M56" s="164"/>
      <c r="N56" s="164"/>
      <c r="O56" s="164"/>
      <c r="P56" s="164"/>
      <c r="Q56" s="164"/>
      <c r="R56" s="164"/>
      <c r="S56" s="164"/>
      <c r="T56" s="164"/>
      <c r="U56" s="164"/>
      <c r="V56" s="164"/>
      <c r="W56" s="164"/>
      <c r="X56" s="164"/>
      <c r="Y56" s="164"/>
      <c r="Z56" s="165"/>
    </row>
    <row r="57" ht="15.75" customHeight="1">
      <c r="A57" s="184">
        <v>2004.0</v>
      </c>
      <c r="B57" s="194" t="s">
        <v>206</v>
      </c>
      <c r="C57" s="169" t="s">
        <v>42</v>
      </c>
      <c r="D57" s="170"/>
      <c r="E57" s="177"/>
      <c r="F57" s="170"/>
      <c r="G57" s="170"/>
      <c r="H57" s="170"/>
      <c r="I57" s="170"/>
      <c r="J57" s="170"/>
      <c r="K57" s="170"/>
      <c r="L57" s="170"/>
      <c r="M57" s="170"/>
      <c r="N57" s="170"/>
      <c r="O57" s="170"/>
      <c r="P57" s="170"/>
      <c r="Q57" s="170"/>
      <c r="R57" s="170"/>
      <c r="S57" s="170"/>
      <c r="T57" s="170"/>
      <c r="U57" s="170"/>
      <c r="V57" s="170"/>
      <c r="W57" s="170"/>
      <c r="X57" s="170"/>
      <c r="Y57" s="170"/>
      <c r="Z57" s="156"/>
    </row>
    <row r="58" ht="15.75" customHeight="1">
      <c r="A58" s="179">
        <v>2003.0</v>
      </c>
      <c r="B58" s="190" t="s">
        <v>206</v>
      </c>
      <c r="C58" s="163" t="s">
        <v>42</v>
      </c>
      <c r="D58" s="164"/>
      <c r="E58" s="189"/>
      <c r="F58" s="164"/>
      <c r="G58" s="164"/>
      <c r="H58" s="164"/>
      <c r="I58" s="164"/>
      <c r="J58" s="164"/>
      <c r="K58" s="164"/>
      <c r="L58" s="164"/>
      <c r="M58" s="164"/>
      <c r="N58" s="164"/>
      <c r="O58" s="164"/>
      <c r="P58" s="164"/>
      <c r="Q58" s="164"/>
      <c r="R58" s="164"/>
      <c r="S58" s="164"/>
      <c r="T58" s="164"/>
      <c r="U58" s="164"/>
      <c r="V58" s="164"/>
      <c r="W58" s="164"/>
      <c r="X58" s="164"/>
      <c r="Y58" s="164"/>
      <c r="Z58" s="165"/>
    </row>
    <row r="59" ht="15.75" customHeight="1">
      <c r="A59" s="167" t="s">
        <v>210</v>
      </c>
      <c r="B59" s="176" t="s">
        <v>206</v>
      </c>
      <c r="C59" s="170" t="s">
        <v>211</v>
      </c>
      <c r="D59" s="170" t="s">
        <v>212</v>
      </c>
      <c r="E59" s="181"/>
      <c r="F59" s="170"/>
      <c r="G59" s="170"/>
      <c r="H59" s="170"/>
      <c r="I59" s="170"/>
      <c r="J59" s="170"/>
      <c r="K59" s="170"/>
      <c r="L59" s="170"/>
      <c r="M59" s="170"/>
      <c r="N59" s="170"/>
      <c r="O59" s="170"/>
      <c r="P59" s="170"/>
      <c r="Q59" s="170"/>
      <c r="R59" s="170"/>
      <c r="S59" s="170"/>
      <c r="T59" s="170"/>
      <c r="U59" s="170"/>
      <c r="V59" s="170"/>
      <c r="W59" s="170"/>
      <c r="X59" s="170"/>
      <c r="Y59" s="170"/>
      <c r="Z59" s="156"/>
    </row>
    <row r="60" ht="15.75" customHeight="1">
      <c r="A60" s="44"/>
      <c r="B60" s="44"/>
      <c r="C60" s="170" t="s">
        <v>78</v>
      </c>
      <c r="D60" s="170" t="s">
        <v>213</v>
      </c>
      <c r="E60" s="181" t="s">
        <v>214</v>
      </c>
      <c r="F60" s="170"/>
      <c r="G60" s="170"/>
      <c r="H60" s="170"/>
      <c r="I60" s="170"/>
      <c r="J60" s="170"/>
      <c r="K60" s="170"/>
      <c r="L60" s="170"/>
      <c r="M60" s="170"/>
      <c r="N60" s="170"/>
      <c r="O60" s="170"/>
      <c r="P60" s="170"/>
      <c r="Q60" s="170"/>
      <c r="R60" s="170"/>
      <c r="S60" s="170"/>
      <c r="T60" s="170"/>
      <c r="U60" s="170"/>
      <c r="V60" s="170"/>
      <c r="W60" s="170"/>
      <c r="X60" s="170"/>
      <c r="Y60" s="170"/>
      <c r="Z60" s="156"/>
    </row>
    <row r="61" ht="15.75" customHeight="1">
      <c r="A61" s="44"/>
      <c r="B61" s="44"/>
      <c r="C61" s="170" t="s">
        <v>215</v>
      </c>
      <c r="D61" s="170" t="s">
        <v>216</v>
      </c>
      <c r="E61" s="181" t="s">
        <v>217</v>
      </c>
      <c r="F61" s="170"/>
      <c r="G61" s="170"/>
      <c r="H61" s="170"/>
      <c r="I61" s="170"/>
      <c r="J61" s="170"/>
      <c r="K61" s="170"/>
      <c r="L61" s="170"/>
      <c r="M61" s="170"/>
      <c r="N61" s="170"/>
      <c r="O61" s="170"/>
      <c r="P61" s="170"/>
      <c r="Q61" s="170"/>
      <c r="R61" s="170"/>
      <c r="S61" s="170"/>
      <c r="T61" s="170"/>
      <c r="U61" s="170"/>
      <c r="V61" s="170"/>
      <c r="W61" s="170"/>
      <c r="X61" s="170"/>
      <c r="Y61" s="170"/>
      <c r="Z61" s="156"/>
    </row>
    <row r="62" ht="15.75" customHeight="1">
      <c r="A62" s="44"/>
      <c r="B62" s="44"/>
      <c r="C62" s="170" t="s">
        <v>218</v>
      </c>
      <c r="D62" s="170" t="s">
        <v>219</v>
      </c>
      <c r="E62" s="181" t="s">
        <v>220</v>
      </c>
      <c r="F62" s="170"/>
      <c r="G62" s="170"/>
      <c r="H62" s="170"/>
      <c r="I62" s="170"/>
      <c r="J62" s="170"/>
      <c r="K62" s="170"/>
      <c r="L62" s="170"/>
      <c r="M62" s="170"/>
      <c r="N62" s="170"/>
      <c r="O62" s="170"/>
      <c r="P62" s="170"/>
      <c r="Q62" s="170"/>
      <c r="R62" s="170"/>
      <c r="S62" s="170"/>
      <c r="T62" s="170"/>
      <c r="U62" s="170"/>
      <c r="V62" s="170"/>
      <c r="W62" s="170"/>
      <c r="X62" s="170"/>
      <c r="Y62" s="170"/>
      <c r="Z62" s="156"/>
    </row>
    <row r="63" ht="15.75" customHeight="1">
      <c r="A63" s="68"/>
      <c r="B63" s="68"/>
      <c r="C63" s="169" t="s">
        <v>221</v>
      </c>
      <c r="D63" s="169" t="s">
        <v>198</v>
      </c>
      <c r="E63" s="168" t="s">
        <v>222</v>
      </c>
      <c r="F63" s="170"/>
      <c r="G63" s="170"/>
      <c r="H63" s="170"/>
      <c r="I63" s="170"/>
      <c r="J63" s="170"/>
      <c r="K63" s="170"/>
      <c r="L63" s="170"/>
      <c r="M63" s="170"/>
      <c r="N63" s="170"/>
      <c r="O63" s="170"/>
      <c r="P63" s="170"/>
      <c r="Q63" s="170"/>
      <c r="R63" s="170"/>
      <c r="S63" s="170"/>
      <c r="T63" s="170"/>
      <c r="U63" s="170"/>
      <c r="V63" s="170"/>
      <c r="W63" s="170"/>
      <c r="X63" s="170"/>
      <c r="Y63" s="170"/>
      <c r="Z63" s="156"/>
    </row>
    <row r="64" ht="15.75" customHeight="1">
      <c r="A64" s="182">
        <v>37249.0</v>
      </c>
      <c r="B64" s="161" t="s">
        <v>206</v>
      </c>
      <c r="C64" s="163" t="s">
        <v>223</v>
      </c>
      <c r="D64" s="163" t="s">
        <v>224</v>
      </c>
      <c r="E64" s="162" t="s">
        <v>225</v>
      </c>
      <c r="F64" s="164"/>
      <c r="G64" s="164"/>
      <c r="H64" s="164"/>
      <c r="I64" s="164"/>
      <c r="J64" s="164"/>
      <c r="K64" s="164"/>
      <c r="L64" s="164"/>
      <c r="M64" s="164"/>
      <c r="N64" s="164"/>
      <c r="O64" s="164"/>
      <c r="P64" s="164"/>
      <c r="Q64" s="164"/>
      <c r="R64" s="164"/>
      <c r="S64" s="164"/>
      <c r="T64" s="164"/>
      <c r="U64" s="164"/>
      <c r="V64" s="164"/>
      <c r="W64" s="164"/>
      <c r="X64" s="164"/>
      <c r="Y64" s="164"/>
      <c r="Z64" s="165"/>
    </row>
    <row r="65" ht="15.75" customHeight="1">
      <c r="A65" s="68"/>
      <c r="B65" s="68"/>
      <c r="C65" s="163" t="s">
        <v>226</v>
      </c>
      <c r="D65" s="163" t="s">
        <v>227</v>
      </c>
      <c r="E65" s="162" t="s">
        <v>228</v>
      </c>
      <c r="F65" s="164"/>
      <c r="G65" s="164"/>
      <c r="H65" s="164"/>
      <c r="I65" s="164"/>
      <c r="J65" s="164"/>
      <c r="K65" s="164"/>
      <c r="L65" s="164"/>
      <c r="M65" s="164"/>
      <c r="N65" s="164"/>
      <c r="O65" s="164"/>
      <c r="P65" s="164"/>
      <c r="Q65" s="164"/>
      <c r="R65" s="164"/>
      <c r="S65" s="164"/>
      <c r="T65" s="164"/>
      <c r="U65" s="164"/>
      <c r="V65" s="164"/>
      <c r="W65" s="164"/>
      <c r="X65" s="164"/>
      <c r="Y65" s="164"/>
      <c r="Z65" s="165"/>
    </row>
    <row r="66" ht="15.75" customHeight="1">
      <c r="A66" s="184">
        <v>2000.0</v>
      </c>
      <c r="B66" s="194" t="s">
        <v>206</v>
      </c>
      <c r="C66" s="169" t="s">
        <v>42</v>
      </c>
      <c r="D66" s="170"/>
      <c r="E66" s="177"/>
      <c r="F66" s="170"/>
      <c r="G66" s="170"/>
      <c r="H66" s="170"/>
      <c r="I66" s="170"/>
      <c r="J66" s="170"/>
      <c r="K66" s="170"/>
      <c r="L66" s="170"/>
      <c r="M66" s="170"/>
      <c r="N66" s="170"/>
      <c r="O66" s="170"/>
      <c r="P66" s="170"/>
      <c r="Q66" s="170"/>
      <c r="R66" s="170"/>
      <c r="S66" s="170"/>
      <c r="T66" s="170"/>
      <c r="U66" s="170"/>
      <c r="V66" s="170"/>
      <c r="W66" s="170"/>
      <c r="X66" s="170"/>
      <c r="Y66" s="170"/>
      <c r="Z66" s="156"/>
    </row>
    <row r="67" ht="15.75" customHeight="1">
      <c r="A67" s="182">
        <v>36518.0</v>
      </c>
      <c r="B67" s="161" t="s">
        <v>206</v>
      </c>
      <c r="C67" s="163" t="s">
        <v>229</v>
      </c>
      <c r="D67" s="163" t="s">
        <v>230</v>
      </c>
      <c r="E67" s="193" t="s">
        <v>231</v>
      </c>
      <c r="F67" s="164"/>
      <c r="G67" s="164"/>
      <c r="H67" s="164"/>
      <c r="I67" s="164"/>
      <c r="J67" s="164"/>
      <c r="K67" s="164"/>
      <c r="L67" s="164"/>
      <c r="M67" s="164"/>
      <c r="N67" s="164"/>
      <c r="O67" s="164"/>
      <c r="P67" s="164"/>
      <c r="Q67" s="164"/>
      <c r="R67" s="164"/>
      <c r="S67" s="164"/>
      <c r="T67" s="164"/>
      <c r="U67" s="164"/>
      <c r="V67" s="164"/>
      <c r="W67" s="164"/>
      <c r="X67" s="164"/>
      <c r="Y67" s="164"/>
      <c r="Z67" s="165"/>
    </row>
    <row r="68" ht="15.75" customHeight="1">
      <c r="A68" s="44"/>
      <c r="B68" s="44"/>
      <c r="C68" s="163" t="s">
        <v>123</v>
      </c>
      <c r="D68" s="163" t="s">
        <v>232</v>
      </c>
      <c r="E68" s="193" t="s">
        <v>233</v>
      </c>
      <c r="F68" s="164"/>
      <c r="G68" s="164"/>
      <c r="H68" s="164"/>
      <c r="I68" s="164"/>
      <c r="J68" s="164"/>
      <c r="K68" s="164"/>
      <c r="L68" s="164"/>
      <c r="M68" s="164"/>
      <c r="N68" s="164"/>
      <c r="O68" s="164"/>
      <c r="P68" s="164"/>
      <c r="Q68" s="164"/>
      <c r="R68" s="164"/>
      <c r="S68" s="164"/>
      <c r="T68" s="164"/>
      <c r="U68" s="164"/>
      <c r="V68" s="164"/>
      <c r="W68" s="164"/>
      <c r="X68" s="164"/>
      <c r="Y68" s="164"/>
      <c r="Z68" s="165"/>
    </row>
    <row r="69" ht="15.75" customHeight="1">
      <c r="A69" s="44"/>
      <c r="B69" s="44"/>
      <c r="C69" s="163" t="s">
        <v>234</v>
      </c>
      <c r="D69" s="163" t="s">
        <v>235</v>
      </c>
      <c r="E69" s="193" t="s">
        <v>236</v>
      </c>
      <c r="F69" s="164"/>
      <c r="G69" s="164"/>
      <c r="H69" s="164"/>
      <c r="I69" s="164"/>
      <c r="J69" s="164"/>
      <c r="K69" s="164"/>
      <c r="L69" s="164"/>
      <c r="M69" s="164"/>
      <c r="N69" s="164"/>
      <c r="O69" s="164"/>
      <c r="P69" s="164"/>
      <c r="Q69" s="164"/>
      <c r="R69" s="164"/>
      <c r="S69" s="164"/>
      <c r="T69" s="164"/>
      <c r="U69" s="164"/>
      <c r="V69" s="164"/>
      <c r="W69" s="164"/>
      <c r="X69" s="164"/>
      <c r="Y69" s="164"/>
      <c r="Z69" s="165"/>
    </row>
    <row r="70" ht="15.75" customHeight="1">
      <c r="A70" s="68"/>
      <c r="B70" s="68"/>
      <c r="C70" s="163" t="s">
        <v>237</v>
      </c>
      <c r="D70" s="163" t="s">
        <v>204</v>
      </c>
      <c r="E70" s="193" t="s">
        <v>238</v>
      </c>
      <c r="F70" s="164"/>
      <c r="G70" s="164"/>
      <c r="H70" s="164"/>
      <c r="I70" s="164"/>
      <c r="J70" s="164"/>
      <c r="K70" s="164"/>
      <c r="L70" s="164"/>
      <c r="M70" s="164"/>
      <c r="N70" s="164"/>
      <c r="O70" s="164"/>
      <c r="P70" s="164"/>
      <c r="Q70" s="164"/>
      <c r="R70" s="164"/>
      <c r="S70" s="164"/>
      <c r="T70" s="164"/>
      <c r="U70" s="164"/>
      <c r="V70" s="164"/>
      <c r="W70" s="164"/>
      <c r="X70" s="164"/>
      <c r="Y70" s="164"/>
      <c r="Z70" s="165"/>
    </row>
    <row r="71" ht="15.75" customHeight="1">
      <c r="A71" s="184">
        <v>1998.0</v>
      </c>
      <c r="B71" s="194" t="s">
        <v>206</v>
      </c>
      <c r="C71" s="169" t="s">
        <v>42</v>
      </c>
      <c r="D71" s="170"/>
      <c r="E71" s="177"/>
      <c r="F71" s="170"/>
      <c r="G71" s="170"/>
      <c r="H71" s="170"/>
      <c r="I71" s="170"/>
      <c r="J71" s="170"/>
      <c r="K71" s="170"/>
      <c r="L71" s="170"/>
      <c r="M71" s="170"/>
      <c r="N71" s="170"/>
      <c r="O71" s="170"/>
      <c r="P71" s="170"/>
      <c r="Q71" s="170"/>
      <c r="R71" s="170"/>
      <c r="S71" s="170"/>
      <c r="T71" s="170"/>
      <c r="U71" s="170"/>
      <c r="V71" s="170"/>
      <c r="W71" s="170"/>
      <c r="X71" s="170"/>
      <c r="Y71" s="170"/>
      <c r="Z71" s="156"/>
    </row>
    <row r="72" ht="15.75" customHeight="1">
      <c r="A72" s="182">
        <v>35789.0</v>
      </c>
      <c r="B72" s="161" t="s">
        <v>206</v>
      </c>
      <c r="C72" s="163" t="s">
        <v>239</v>
      </c>
      <c r="D72" s="163" t="s">
        <v>240</v>
      </c>
      <c r="E72" s="189"/>
      <c r="F72" s="164"/>
      <c r="G72" s="164"/>
      <c r="H72" s="164"/>
      <c r="I72" s="164"/>
      <c r="J72" s="164"/>
      <c r="K72" s="164"/>
      <c r="L72" s="164"/>
      <c r="M72" s="164"/>
      <c r="N72" s="164"/>
      <c r="O72" s="164"/>
      <c r="P72" s="164"/>
      <c r="Q72" s="164"/>
      <c r="R72" s="164"/>
      <c r="S72" s="164"/>
      <c r="T72" s="164"/>
      <c r="U72" s="164"/>
      <c r="V72" s="164"/>
      <c r="W72" s="164"/>
      <c r="X72" s="164"/>
      <c r="Y72" s="164"/>
      <c r="Z72" s="165"/>
    </row>
    <row r="73" ht="15.75" customHeight="1">
      <c r="A73" s="44"/>
      <c r="B73" s="44"/>
      <c r="C73" s="163" t="s">
        <v>197</v>
      </c>
      <c r="D73" s="163" t="s">
        <v>241</v>
      </c>
      <c r="E73" s="189"/>
      <c r="F73" s="164"/>
      <c r="G73" s="164"/>
      <c r="H73" s="164"/>
      <c r="I73" s="164"/>
      <c r="J73" s="164"/>
      <c r="K73" s="164"/>
      <c r="L73" s="164"/>
      <c r="M73" s="164"/>
      <c r="N73" s="164"/>
      <c r="O73" s="164"/>
      <c r="P73" s="164"/>
      <c r="Q73" s="164"/>
      <c r="R73" s="164"/>
      <c r="S73" s="164"/>
      <c r="T73" s="164"/>
      <c r="U73" s="164"/>
      <c r="V73" s="164"/>
      <c r="W73" s="164"/>
      <c r="X73" s="164"/>
      <c r="Y73" s="164"/>
      <c r="Z73" s="165"/>
    </row>
    <row r="74" ht="15.75" customHeight="1">
      <c r="A74" s="68"/>
      <c r="B74" s="68"/>
      <c r="C74" s="163" t="s">
        <v>242</v>
      </c>
      <c r="D74" s="163" t="s">
        <v>243</v>
      </c>
      <c r="E74" s="189"/>
      <c r="F74" s="164"/>
      <c r="G74" s="164"/>
      <c r="H74" s="164"/>
      <c r="I74" s="164"/>
      <c r="J74" s="164"/>
      <c r="K74" s="164"/>
      <c r="L74" s="164"/>
      <c r="M74" s="164"/>
      <c r="N74" s="164"/>
      <c r="O74" s="164"/>
      <c r="P74" s="164"/>
      <c r="Q74" s="164"/>
      <c r="R74" s="164"/>
      <c r="S74" s="164"/>
      <c r="T74" s="164"/>
      <c r="U74" s="164"/>
      <c r="V74" s="164"/>
      <c r="W74" s="164"/>
      <c r="X74" s="164"/>
      <c r="Y74" s="164"/>
      <c r="Z74" s="165"/>
    </row>
    <row r="75" ht="15.75" customHeight="1">
      <c r="A75" s="184">
        <v>1996.0</v>
      </c>
      <c r="B75" s="194" t="s">
        <v>206</v>
      </c>
      <c r="C75" s="169" t="s">
        <v>244</v>
      </c>
      <c r="D75" s="169" t="s">
        <v>245</v>
      </c>
      <c r="E75" s="177"/>
      <c r="F75" s="170"/>
      <c r="G75" s="170"/>
      <c r="H75" s="170"/>
      <c r="I75" s="170"/>
      <c r="J75" s="170"/>
      <c r="K75" s="170"/>
      <c r="L75" s="170"/>
      <c r="M75" s="170"/>
      <c r="N75" s="170"/>
      <c r="O75" s="170"/>
      <c r="P75" s="170"/>
      <c r="Q75" s="170"/>
      <c r="R75" s="170"/>
      <c r="S75" s="170"/>
      <c r="T75" s="170"/>
      <c r="U75" s="170"/>
      <c r="V75" s="170"/>
      <c r="W75" s="170"/>
      <c r="X75" s="170"/>
      <c r="Y75" s="170"/>
      <c r="Z75" s="156"/>
    </row>
    <row r="76" ht="15.75" customHeight="1">
      <c r="A76" s="184">
        <v>1995.0</v>
      </c>
      <c r="B76" s="184"/>
      <c r="C76" s="170"/>
      <c r="D76" s="170"/>
      <c r="E76" s="177"/>
      <c r="F76" s="170"/>
      <c r="G76" s="170"/>
      <c r="H76" s="170"/>
      <c r="I76" s="170"/>
      <c r="J76" s="170"/>
      <c r="K76" s="170"/>
      <c r="L76" s="170"/>
      <c r="M76" s="170"/>
      <c r="N76" s="170"/>
      <c r="O76" s="170"/>
      <c r="P76" s="170"/>
      <c r="Q76" s="170"/>
      <c r="R76" s="170"/>
      <c r="S76" s="170"/>
      <c r="T76" s="170"/>
      <c r="U76" s="170"/>
      <c r="V76" s="170"/>
      <c r="W76" s="170"/>
      <c r="X76" s="170"/>
      <c r="Y76" s="170"/>
      <c r="Z76" s="156"/>
    </row>
    <row r="77" ht="15.75" customHeight="1">
      <c r="A77" s="184">
        <v>1994.0</v>
      </c>
      <c r="B77" s="184"/>
      <c r="C77" s="170"/>
      <c r="D77" s="170"/>
      <c r="E77" s="177"/>
      <c r="F77" s="170"/>
      <c r="G77" s="170"/>
      <c r="H77" s="170"/>
      <c r="I77" s="170"/>
      <c r="J77" s="170"/>
      <c r="K77" s="170"/>
      <c r="L77" s="170"/>
      <c r="M77" s="170"/>
      <c r="N77" s="170"/>
      <c r="O77" s="170"/>
      <c r="P77" s="170"/>
      <c r="Q77" s="170"/>
      <c r="R77" s="170"/>
      <c r="S77" s="170"/>
      <c r="T77" s="170"/>
      <c r="U77" s="170"/>
      <c r="V77" s="170"/>
      <c r="W77" s="170"/>
      <c r="X77" s="170"/>
      <c r="Y77" s="170"/>
      <c r="Z77" s="156"/>
    </row>
    <row r="78" ht="15.75" customHeight="1">
      <c r="A78" s="184">
        <v>1993.0</v>
      </c>
      <c r="B78" s="184"/>
      <c r="C78" s="170"/>
      <c r="D78" s="170"/>
      <c r="E78" s="177"/>
      <c r="F78" s="170"/>
      <c r="G78" s="170"/>
      <c r="H78" s="170"/>
      <c r="I78" s="170"/>
      <c r="J78" s="170"/>
      <c r="K78" s="170"/>
      <c r="L78" s="170"/>
      <c r="M78" s="170"/>
      <c r="N78" s="170"/>
      <c r="O78" s="170"/>
      <c r="P78" s="170"/>
      <c r="Q78" s="170"/>
      <c r="R78" s="170"/>
      <c r="S78" s="170"/>
      <c r="T78" s="170"/>
      <c r="U78" s="170"/>
      <c r="V78" s="170"/>
      <c r="W78" s="170"/>
      <c r="X78" s="170"/>
      <c r="Y78" s="170"/>
      <c r="Z78" s="156"/>
    </row>
    <row r="79" ht="15.75" customHeight="1">
      <c r="A79" s="184">
        <v>1992.0</v>
      </c>
      <c r="B79" s="184"/>
      <c r="C79" s="170"/>
      <c r="D79" s="170"/>
      <c r="E79" s="177"/>
      <c r="F79" s="170"/>
      <c r="G79" s="170"/>
      <c r="H79" s="170"/>
      <c r="I79" s="170"/>
      <c r="J79" s="170"/>
      <c r="K79" s="170"/>
      <c r="L79" s="170"/>
      <c r="M79" s="170"/>
      <c r="N79" s="170"/>
      <c r="O79" s="170"/>
      <c r="P79" s="170"/>
      <c r="Q79" s="170"/>
      <c r="R79" s="170"/>
      <c r="S79" s="170"/>
      <c r="T79" s="170"/>
      <c r="U79" s="170"/>
      <c r="V79" s="170"/>
      <c r="W79" s="170"/>
      <c r="X79" s="170"/>
      <c r="Y79" s="170"/>
      <c r="Z79" s="156"/>
    </row>
    <row r="80" ht="15.75" customHeight="1">
      <c r="A80" s="184">
        <v>1991.0</v>
      </c>
      <c r="B80" s="184"/>
      <c r="C80" s="170"/>
      <c r="D80" s="170"/>
      <c r="E80" s="177"/>
      <c r="F80" s="170"/>
      <c r="G80" s="170"/>
      <c r="H80" s="170"/>
      <c r="I80" s="170"/>
      <c r="J80" s="170"/>
      <c r="K80" s="170"/>
      <c r="L80" s="170"/>
      <c r="M80" s="170"/>
      <c r="N80" s="170"/>
      <c r="O80" s="170"/>
      <c r="P80" s="170"/>
      <c r="Q80" s="170"/>
      <c r="R80" s="170"/>
      <c r="S80" s="170"/>
      <c r="T80" s="170"/>
      <c r="U80" s="170"/>
      <c r="V80" s="170"/>
      <c r="W80" s="170"/>
      <c r="X80" s="170"/>
      <c r="Y80" s="170"/>
      <c r="Z80" s="156"/>
    </row>
    <row r="81" ht="15.75" customHeight="1">
      <c r="A81" s="184">
        <v>1990.0</v>
      </c>
      <c r="B81" s="184"/>
      <c r="C81" s="170"/>
      <c r="D81" s="170"/>
      <c r="E81" s="177"/>
      <c r="F81" s="170"/>
      <c r="G81" s="170"/>
      <c r="H81" s="170"/>
      <c r="I81" s="170"/>
      <c r="J81" s="170"/>
      <c r="K81" s="170"/>
      <c r="L81" s="170"/>
      <c r="M81" s="170"/>
      <c r="N81" s="170"/>
      <c r="O81" s="170"/>
      <c r="P81" s="170"/>
      <c r="Q81" s="170"/>
      <c r="R81" s="170"/>
      <c r="S81" s="170"/>
      <c r="T81" s="170"/>
      <c r="U81" s="170"/>
      <c r="V81" s="170"/>
      <c r="W81" s="170"/>
      <c r="X81" s="170"/>
      <c r="Y81" s="170"/>
      <c r="Z81" s="156"/>
    </row>
    <row r="82" ht="15.75" customHeight="1">
      <c r="A82" s="184">
        <v>1989.0</v>
      </c>
      <c r="B82" s="184"/>
      <c r="C82" s="170"/>
      <c r="D82" s="170"/>
      <c r="E82" s="177"/>
      <c r="F82" s="170"/>
      <c r="G82" s="170"/>
      <c r="H82" s="170"/>
      <c r="I82" s="170"/>
      <c r="J82" s="170"/>
      <c r="K82" s="170"/>
      <c r="L82" s="170"/>
      <c r="M82" s="170"/>
      <c r="N82" s="170"/>
      <c r="O82" s="170"/>
      <c r="P82" s="170"/>
      <c r="Q82" s="170"/>
      <c r="R82" s="170"/>
      <c r="S82" s="170"/>
      <c r="T82" s="170"/>
      <c r="U82" s="170"/>
      <c r="V82" s="170"/>
      <c r="W82" s="170"/>
      <c r="X82" s="170"/>
      <c r="Y82" s="170"/>
      <c r="Z82" s="156"/>
    </row>
    <row r="83" ht="15.75" customHeight="1">
      <c r="A83" s="184">
        <v>1988.0</v>
      </c>
      <c r="B83" s="184"/>
      <c r="C83" s="170"/>
      <c r="D83" s="170"/>
      <c r="E83" s="177"/>
      <c r="F83" s="170"/>
      <c r="G83" s="170"/>
      <c r="H83" s="170"/>
      <c r="I83" s="170"/>
      <c r="J83" s="170"/>
      <c r="K83" s="170"/>
      <c r="L83" s="170"/>
      <c r="M83" s="170"/>
      <c r="N83" s="170"/>
      <c r="O83" s="170"/>
      <c r="P83" s="170"/>
      <c r="Q83" s="170"/>
      <c r="R83" s="170"/>
      <c r="S83" s="170"/>
      <c r="T83" s="170"/>
      <c r="U83" s="170"/>
      <c r="V83" s="170"/>
      <c r="W83" s="170"/>
      <c r="X83" s="170"/>
      <c r="Y83" s="170"/>
      <c r="Z83" s="156"/>
    </row>
    <row r="84" ht="15.75" customHeight="1">
      <c r="A84" s="184">
        <v>1987.0</v>
      </c>
      <c r="B84" s="184"/>
      <c r="C84" s="170"/>
      <c r="D84" s="170"/>
      <c r="E84" s="177"/>
      <c r="F84" s="170"/>
      <c r="G84" s="170"/>
      <c r="H84" s="170"/>
      <c r="I84" s="170"/>
      <c r="J84" s="170"/>
      <c r="K84" s="170"/>
      <c r="L84" s="170"/>
      <c r="M84" s="170"/>
      <c r="N84" s="170"/>
      <c r="O84" s="170"/>
      <c r="P84" s="170"/>
      <c r="Q84" s="170"/>
      <c r="R84" s="170"/>
      <c r="S84" s="170"/>
      <c r="T84" s="170"/>
      <c r="U84" s="170"/>
      <c r="V84" s="170"/>
      <c r="W84" s="170"/>
      <c r="X84" s="170"/>
      <c r="Y84" s="170"/>
      <c r="Z84" s="156"/>
    </row>
    <row r="85" ht="15.75" customHeight="1">
      <c r="A85" s="184">
        <v>1986.0</v>
      </c>
      <c r="B85" s="184"/>
      <c r="C85" s="170"/>
      <c r="D85" s="170"/>
      <c r="E85" s="177"/>
      <c r="F85" s="170"/>
      <c r="G85" s="170"/>
      <c r="H85" s="170"/>
      <c r="I85" s="170"/>
      <c r="J85" s="170"/>
      <c r="K85" s="170"/>
      <c r="L85" s="170"/>
      <c r="M85" s="170"/>
      <c r="N85" s="170"/>
      <c r="O85" s="170"/>
      <c r="P85" s="170"/>
      <c r="Q85" s="170"/>
      <c r="R85" s="170"/>
      <c r="S85" s="170"/>
      <c r="T85" s="170"/>
      <c r="U85" s="170"/>
      <c r="V85" s="170"/>
      <c r="W85" s="170"/>
      <c r="X85" s="170"/>
      <c r="Y85" s="170"/>
      <c r="Z85" s="156"/>
    </row>
    <row r="86" ht="15.75" customHeight="1">
      <c r="A86" s="184">
        <v>1985.0</v>
      </c>
      <c r="B86" s="184"/>
      <c r="C86" s="170"/>
      <c r="D86" s="170"/>
      <c r="E86" s="177"/>
      <c r="F86" s="170"/>
      <c r="G86" s="170"/>
      <c r="H86" s="170"/>
      <c r="I86" s="170"/>
      <c r="J86" s="170"/>
      <c r="K86" s="170"/>
      <c r="L86" s="170"/>
      <c r="M86" s="170"/>
      <c r="N86" s="170"/>
      <c r="O86" s="170"/>
      <c r="P86" s="170"/>
      <c r="Q86" s="170"/>
      <c r="R86" s="170"/>
      <c r="S86" s="170"/>
      <c r="T86" s="170"/>
      <c r="U86" s="170"/>
      <c r="V86" s="170"/>
      <c r="W86" s="170"/>
      <c r="X86" s="170"/>
      <c r="Y86" s="170"/>
      <c r="Z86" s="156"/>
    </row>
    <row r="87" ht="15.75" customHeight="1">
      <c r="A87" s="184">
        <v>1984.0</v>
      </c>
      <c r="B87" s="184"/>
      <c r="C87" s="170"/>
      <c r="D87" s="170"/>
      <c r="E87" s="177"/>
      <c r="F87" s="170"/>
      <c r="G87" s="170"/>
      <c r="H87" s="170"/>
      <c r="I87" s="170"/>
      <c r="J87" s="170"/>
      <c r="K87" s="170"/>
      <c r="L87" s="170"/>
      <c r="M87" s="170"/>
      <c r="N87" s="170"/>
      <c r="O87" s="170"/>
      <c r="P87" s="170"/>
      <c r="Q87" s="170"/>
      <c r="R87" s="170"/>
      <c r="S87" s="170"/>
      <c r="T87" s="170"/>
      <c r="U87" s="170"/>
      <c r="V87" s="170"/>
      <c r="W87" s="170"/>
      <c r="X87" s="170"/>
      <c r="Y87" s="170"/>
      <c r="Z87" s="156"/>
    </row>
    <row r="88" ht="15.75" customHeight="1">
      <c r="A88" s="184">
        <v>1983.0</v>
      </c>
      <c r="B88" s="184"/>
      <c r="C88" s="170"/>
      <c r="D88" s="170"/>
      <c r="E88" s="177"/>
      <c r="F88" s="170"/>
      <c r="G88" s="170"/>
      <c r="H88" s="170"/>
      <c r="I88" s="170"/>
      <c r="J88" s="170"/>
      <c r="K88" s="170"/>
      <c r="L88" s="170"/>
      <c r="M88" s="170"/>
      <c r="N88" s="170"/>
      <c r="O88" s="170"/>
      <c r="P88" s="170"/>
      <c r="Q88" s="170"/>
      <c r="R88" s="170"/>
      <c r="S88" s="170"/>
      <c r="T88" s="170"/>
      <c r="U88" s="170"/>
      <c r="V88" s="170"/>
      <c r="W88" s="170"/>
      <c r="X88" s="170"/>
      <c r="Y88" s="170"/>
      <c r="Z88" s="156"/>
    </row>
    <row r="89" ht="15.75" customHeight="1">
      <c r="A89" s="195">
        <v>29985.0</v>
      </c>
      <c r="B89" s="184" t="s">
        <v>246</v>
      </c>
      <c r="C89" s="170" t="s">
        <v>164</v>
      </c>
      <c r="D89" s="170" t="s">
        <v>247</v>
      </c>
      <c r="E89" s="177" t="s">
        <v>248</v>
      </c>
      <c r="F89" s="170"/>
      <c r="G89" s="170"/>
      <c r="H89" s="170"/>
      <c r="I89" s="170"/>
      <c r="J89" s="170"/>
      <c r="K89" s="170"/>
      <c r="L89" s="170"/>
      <c r="M89" s="170"/>
      <c r="N89" s="170"/>
      <c r="O89" s="170"/>
      <c r="P89" s="170"/>
      <c r="Q89" s="170"/>
      <c r="R89" s="170"/>
      <c r="S89" s="170"/>
      <c r="T89" s="170"/>
      <c r="U89" s="170"/>
      <c r="V89" s="170"/>
      <c r="W89" s="170"/>
      <c r="X89" s="170"/>
      <c r="Y89" s="170"/>
      <c r="Z89" s="156"/>
    </row>
    <row r="90" ht="15.75" customHeight="1">
      <c r="A90" s="176">
        <v>1981.0</v>
      </c>
      <c r="B90" s="176" t="s">
        <v>246</v>
      </c>
      <c r="C90" s="169" t="s">
        <v>249</v>
      </c>
      <c r="D90" s="169"/>
      <c r="E90" s="177"/>
      <c r="F90" s="170"/>
      <c r="G90" s="170"/>
      <c r="H90" s="170"/>
      <c r="I90" s="170"/>
      <c r="J90" s="170"/>
      <c r="K90" s="170"/>
      <c r="L90" s="170"/>
      <c r="M90" s="170"/>
      <c r="N90" s="170"/>
      <c r="O90" s="170"/>
      <c r="P90" s="170"/>
      <c r="Q90" s="170"/>
      <c r="R90" s="170"/>
      <c r="S90" s="170"/>
      <c r="T90" s="170"/>
      <c r="U90" s="170"/>
      <c r="V90" s="170"/>
      <c r="W90" s="170"/>
      <c r="X90" s="170"/>
      <c r="Y90" s="170"/>
      <c r="Z90" s="156"/>
    </row>
    <row r="91" ht="15.75" customHeight="1">
      <c r="A91" s="44"/>
      <c r="B91" s="44"/>
      <c r="C91" s="169" t="s">
        <v>249</v>
      </c>
      <c r="D91" s="169"/>
      <c r="E91" s="177"/>
      <c r="F91" s="170"/>
      <c r="G91" s="170"/>
      <c r="H91" s="170"/>
      <c r="I91" s="170"/>
      <c r="J91" s="170"/>
      <c r="K91" s="170"/>
      <c r="L91" s="170"/>
      <c r="M91" s="170"/>
      <c r="N91" s="170"/>
      <c r="O91" s="170"/>
      <c r="P91" s="170"/>
      <c r="Q91" s="170"/>
      <c r="R91" s="170"/>
      <c r="S91" s="170"/>
      <c r="T91" s="170"/>
      <c r="U91" s="170"/>
      <c r="V91" s="170"/>
      <c r="W91" s="170"/>
      <c r="X91" s="170"/>
      <c r="Y91" s="170"/>
      <c r="Z91" s="156"/>
    </row>
    <row r="92" ht="15.75" customHeight="1">
      <c r="A92" s="44"/>
      <c r="B92" s="44"/>
      <c r="C92" s="169" t="s">
        <v>249</v>
      </c>
      <c r="D92" s="169"/>
      <c r="E92" s="177"/>
      <c r="F92" s="170"/>
      <c r="G92" s="170"/>
      <c r="H92" s="170"/>
      <c r="I92" s="170"/>
      <c r="J92" s="170"/>
      <c r="K92" s="170"/>
      <c r="L92" s="170"/>
      <c r="M92" s="170"/>
      <c r="N92" s="170"/>
      <c r="O92" s="170"/>
      <c r="P92" s="170"/>
      <c r="Q92" s="170"/>
      <c r="R92" s="170"/>
      <c r="S92" s="170"/>
      <c r="T92" s="170"/>
      <c r="U92" s="170"/>
      <c r="V92" s="170"/>
      <c r="W92" s="170"/>
      <c r="X92" s="170"/>
      <c r="Y92" s="170"/>
      <c r="Z92" s="156"/>
    </row>
    <row r="93" ht="15.75" customHeight="1">
      <c r="A93" s="44"/>
      <c r="B93" s="44"/>
      <c r="C93" s="169" t="s">
        <v>249</v>
      </c>
      <c r="D93" s="169"/>
      <c r="E93" s="177"/>
      <c r="F93" s="170"/>
      <c r="G93" s="170"/>
      <c r="H93" s="170"/>
      <c r="I93" s="170"/>
      <c r="J93" s="170"/>
      <c r="K93" s="170"/>
      <c r="L93" s="170"/>
      <c r="M93" s="170"/>
      <c r="N93" s="170"/>
      <c r="O93" s="170"/>
      <c r="P93" s="170"/>
      <c r="Q93" s="170"/>
      <c r="R93" s="170"/>
      <c r="S93" s="170"/>
      <c r="T93" s="170"/>
      <c r="U93" s="170"/>
      <c r="V93" s="170"/>
      <c r="W93" s="170"/>
      <c r="X93" s="170"/>
      <c r="Y93" s="170"/>
      <c r="Z93" s="156"/>
    </row>
    <row r="94" ht="15.75" customHeight="1">
      <c r="A94" s="44"/>
      <c r="B94" s="44"/>
      <c r="C94" s="169" t="s">
        <v>249</v>
      </c>
      <c r="D94" s="169"/>
      <c r="E94" s="177"/>
      <c r="F94" s="170"/>
      <c r="G94" s="170"/>
      <c r="H94" s="170"/>
      <c r="I94" s="170"/>
      <c r="J94" s="170"/>
      <c r="K94" s="170"/>
      <c r="L94" s="170"/>
      <c r="M94" s="170"/>
      <c r="N94" s="170"/>
      <c r="O94" s="170"/>
      <c r="P94" s="170"/>
      <c r="Q94" s="170"/>
      <c r="R94" s="170"/>
      <c r="S94" s="170"/>
      <c r="T94" s="170"/>
      <c r="U94" s="170"/>
      <c r="V94" s="170"/>
      <c r="W94" s="170"/>
      <c r="X94" s="170"/>
      <c r="Y94" s="170"/>
      <c r="Z94" s="156"/>
    </row>
    <row r="95" ht="15.75" customHeight="1">
      <c r="A95" s="44"/>
      <c r="B95" s="44"/>
      <c r="C95" s="169" t="s">
        <v>249</v>
      </c>
      <c r="D95" s="169"/>
      <c r="E95" s="177"/>
      <c r="F95" s="170"/>
      <c r="G95" s="170"/>
      <c r="H95" s="170"/>
      <c r="I95" s="170"/>
      <c r="J95" s="170"/>
      <c r="K95" s="170"/>
      <c r="L95" s="170"/>
      <c r="M95" s="170"/>
      <c r="N95" s="170"/>
      <c r="O95" s="170"/>
      <c r="P95" s="170"/>
      <c r="Q95" s="170"/>
      <c r="R95" s="170"/>
      <c r="S95" s="170"/>
      <c r="T95" s="170"/>
      <c r="U95" s="170"/>
      <c r="V95" s="170"/>
      <c r="W95" s="170"/>
      <c r="X95" s="170"/>
      <c r="Y95" s="170"/>
      <c r="Z95" s="156"/>
    </row>
    <row r="96" ht="15.75" customHeight="1">
      <c r="A96" s="44"/>
      <c r="B96" s="44"/>
      <c r="C96" s="169" t="s">
        <v>249</v>
      </c>
      <c r="D96" s="169"/>
      <c r="E96" s="177"/>
      <c r="F96" s="170"/>
      <c r="G96" s="170"/>
      <c r="H96" s="170"/>
      <c r="I96" s="170"/>
      <c r="J96" s="170"/>
      <c r="K96" s="170"/>
      <c r="L96" s="170"/>
      <c r="M96" s="170"/>
      <c r="N96" s="170"/>
      <c r="O96" s="170"/>
      <c r="P96" s="170"/>
      <c r="Q96" s="170"/>
      <c r="R96" s="170"/>
      <c r="S96" s="170"/>
      <c r="T96" s="170"/>
      <c r="U96" s="170"/>
      <c r="V96" s="170"/>
      <c r="W96" s="170"/>
      <c r="X96" s="170"/>
      <c r="Y96" s="170"/>
      <c r="Z96" s="156"/>
    </row>
    <row r="97" ht="15.75" customHeight="1">
      <c r="A97" s="44"/>
      <c r="B97" s="44"/>
      <c r="C97" s="169" t="s">
        <v>249</v>
      </c>
      <c r="D97" s="169"/>
      <c r="E97" s="177"/>
      <c r="F97" s="170"/>
      <c r="G97" s="170"/>
      <c r="H97" s="170"/>
      <c r="I97" s="170"/>
      <c r="J97" s="170"/>
      <c r="K97" s="170"/>
      <c r="L97" s="170"/>
      <c r="M97" s="170"/>
      <c r="N97" s="170"/>
      <c r="O97" s="170"/>
      <c r="P97" s="170"/>
      <c r="Q97" s="170"/>
      <c r="R97" s="170"/>
      <c r="S97" s="170"/>
      <c r="T97" s="170"/>
      <c r="U97" s="170"/>
      <c r="V97" s="170"/>
      <c r="W97" s="170"/>
      <c r="X97" s="170"/>
      <c r="Y97" s="170"/>
      <c r="Z97" s="156"/>
    </row>
    <row r="98" ht="15.75" customHeight="1">
      <c r="A98" s="44"/>
      <c r="B98" s="44"/>
      <c r="C98" s="169" t="s">
        <v>249</v>
      </c>
      <c r="D98" s="169"/>
      <c r="E98" s="177"/>
      <c r="F98" s="170"/>
      <c r="G98" s="170"/>
      <c r="H98" s="170"/>
      <c r="I98" s="170"/>
      <c r="J98" s="170"/>
      <c r="K98" s="170"/>
      <c r="L98" s="170"/>
      <c r="M98" s="170"/>
      <c r="N98" s="170"/>
      <c r="O98" s="170"/>
      <c r="P98" s="170"/>
      <c r="Q98" s="170"/>
      <c r="R98" s="170"/>
      <c r="S98" s="170"/>
      <c r="T98" s="170"/>
      <c r="U98" s="170"/>
      <c r="V98" s="170"/>
      <c r="W98" s="170"/>
      <c r="X98" s="170"/>
      <c r="Y98" s="170"/>
      <c r="Z98" s="156"/>
    </row>
    <row r="99" ht="15.75" customHeight="1">
      <c r="A99" s="44"/>
      <c r="B99" s="44"/>
      <c r="C99" s="169" t="s">
        <v>249</v>
      </c>
      <c r="D99" s="169"/>
      <c r="E99" s="177"/>
      <c r="F99" s="170"/>
      <c r="G99" s="170"/>
      <c r="H99" s="170"/>
      <c r="I99" s="170"/>
      <c r="J99" s="170"/>
      <c r="K99" s="170"/>
      <c r="L99" s="170"/>
      <c r="M99" s="170"/>
      <c r="N99" s="170"/>
      <c r="O99" s="170"/>
      <c r="P99" s="170"/>
      <c r="Q99" s="170"/>
      <c r="R99" s="170"/>
      <c r="S99" s="170"/>
      <c r="T99" s="170"/>
      <c r="U99" s="170"/>
      <c r="V99" s="170"/>
      <c r="W99" s="170"/>
      <c r="X99" s="170"/>
      <c r="Y99" s="170"/>
      <c r="Z99" s="156"/>
    </row>
    <row r="100" ht="15.75" customHeight="1">
      <c r="A100" s="68"/>
      <c r="B100" s="68"/>
      <c r="C100" s="169" t="s">
        <v>249</v>
      </c>
      <c r="D100" s="169"/>
      <c r="E100" s="177"/>
      <c r="F100" s="170"/>
      <c r="G100" s="170"/>
      <c r="H100" s="170"/>
      <c r="I100" s="170"/>
      <c r="J100" s="170"/>
      <c r="K100" s="170"/>
      <c r="L100" s="170"/>
      <c r="M100" s="170"/>
      <c r="N100" s="170"/>
      <c r="O100" s="170"/>
      <c r="P100" s="170"/>
      <c r="Q100" s="170"/>
      <c r="R100" s="170"/>
      <c r="S100" s="170"/>
      <c r="T100" s="170"/>
      <c r="U100" s="170"/>
      <c r="V100" s="170"/>
      <c r="W100" s="170"/>
      <c r="X100" s="170"/>
      <c r="Y100" s="170"/>
      <c r="Z100" s="156"/>
    </row>
    <row r="101" ht="15.75" customHeight="1">
      <c r="A101" s="184">
        <v>1980.0</v>
      </c>
      <c r="B101" s="184"/>
      <c r="C101" s="170"/>
      <c r="D101" s="170"/>
      <c r="E101" s="177"/>
      <c r="F101" s="170"/>
      <c r="G101" s="170"/>
      <c r="H101" s="170"/>
      <c r="I101" s="170"/>
      <c r="J101" s="170"/>
      <c r="K101" s="170"/>
      <c r="L101" s="170"/>
      <c r="M101" s="170"/>
      <c r="N101" s="170"/>
      <c r="O101" s="170"/>
      <c r="P101" s="170"/>
      <c r="Q101" s="170"/>
      <c r="R101" s="170"/>
      <c r="S101" s="170"/>
      <c r="T101" s="170"/>
      <c r="U101" s="170"/>
      <c r="V101" s="170"/>
      <c r="W101" s="170"/>
      <c r="X101" s="170"/>
      <c r="Y101" s="170"/>
      <c r="Z101" s="156"/>
    </row>
    <row r="102" ht="15.75" customHeight="1">
      <c r="A102" s="184">
        <v>1979.0</v>
      </c>
      <c r="B102" s="184"/>
      <c r="C102" s="170"/>
      <c r="D102" s="170"/>
      <c r="E102" s="177"/>
      <c r="F102" s="170"/>
      <c r="G102" s="170"/>
      <c r="H102" s="170"/>
      <c r="I102" s="170"/>
      <c r="J102" s="170"/>
      <c r="K102" s="170"/>
      <c r="L102" s="170"/>
      <c r="M102" s="170"/>
      <c r="N102" s="170"/>
      <c r="O102" s="170"/>
      <c r="P102" s="170"/>
      <c r="Q102" s="170"/>
      <c r="R102" s="170"/>
      <c r="S102" s="170"/>
      <c r="T102" s="170"/>
      <c r="U102" s="170"/>
      <c r="V102" s="170"/>
      <c r="W102" s="170"/>
      <c r="X102" s="170"/>
      <c r="Y102" s="170"/>
      <c r="Z102" s="156"/>
    </row>
    <row r="103" ht="15.75" customHeight="1">
      <c r="A103" s="184">
        <v>1978.0</v>
      </c>
      <c r="B103" s="184"/>
      <c r="C103" s="170"/>
      <c r="D103" s="170"/>
      <c r="E103" s="177"/>
      <c r="F103" s="170"/>
      <c r="G103" s="170"/>
      <c r="H103" s="170"/>
      <c r="I103" s="170"/>
      <c r="J103" s="170"/>
      <c r="K103" s="170"/>
      <c r="L103" s="170"/>
      <c r="M103" s="170"/>
      <c r="N103" s="170"/>
      <c r="O103" s="170"/>
      <c r="P103" s="170"/>
      <c r="Q103" s="170"/>
      <c r="R103" s="170"/>
      <c r="S103" s="170"/>
      <c r="T103" s="170"/>
      <c r="U103" s="170"/>
      <c r="V103" s="170"/>
      <c r="W103" s="170"/>
      <c r="X103" s="170"/>
      <c r="Y103" s="170"/>
      <c r="Z103" s="156"/>
    </row>
    <row r="104" ht="15.75" customHeight="1">
      <c r="A104" s="184">
        <v>1977.0</v>
      </c>
      <c r="B104" s="184"/>
      <c r="C104" s="170"/>
      <c r="D104" s="170"/>
      <c r="E104" s="177"/>
      <c r="F104" s="170"/>
      <c r="G104" s="170"/>
      <c r="H104" s="170"/>
      <c r="I104" s="170"/>
      <c r="J104" s="170"/>
      <c r="K104" s="170"/>
      <c r="L104" s="170"/>
      <c r="M104" s="170"/>
      <c r="N104" s="170"/>
      <c r="O104" s="170"/>
      <c r="P104" s="170"/>
      <c r="Q104" s="170"/>
      <c r="R104" s="170"/>
      <c r="S104" s="170"/>
      <c r="T104" s="170"/>
      <c r="U104" s="170"/>
      <c r="V104" s="170"/>
      <c r="W104" s="170"/>
      <c r="X104" s="170"/>
      <c r="Y104" s="170"/>
      <c r="Z104" s="156"/>
    </row>
    <row r="105" ht="15.75" customHeight="1">
      <c r="A105" s="184">
        <v>1976.0</v>
      </c>
      <c r="B105" s="184"/>
      <c r="C105" s="170"/>
      <c r="D105" s="170"/>
      <c r="E105" s="177"/>
      <c r="F105" s="170"/>
      <c r="G105" s="170"/>
      <c r="H105" s="170"/>
      <c r="I105" s="170"/>
      <c r="J105" s="170"/>
      <c r="K105" s="170"/>
      <c r="L105" s="170"/>
      <c r="M105" s="170"/>
      <c r="N105" s="170"/>
      <c r="O105" s="170"/>
      <c r="P105" s="170"/>
      <c r="Q105" s="170"/>
      <c r="R105" s="170"/>
      <c r="S105" s="170"/>
      <c r="T105" s="170"/>
      <c r="U105" s="170"/>
      <c r="V105" s="170"/>
      <c r="W105" s="170"/>
      <c r="X105" s="170"/>
      <c r="Y105" s="170"/>
      <c r="Z105" s="156"/>
    </row>
    <row r="106" ht="15.75" customHeight="1">
      <c r="A106" s="176">
        <v>1975.0</v>
      </c>
      <c r="B106" s="176" t="s">
        <v>246</v>
      </c>
      <c r="C106" s="168" t="s">
        <v>250</v>
      </c>
      <c r="D106" s="169" t="s">
        <v>251</v>
      </c>
      <c r="E106" s="191" t="s">
        <v>252</v>
      </c>
      <c r="F106" s="170"/>
      <c r="G106" s="170"/>
      <c r="H106" s="170"/>
      <c r="I106" s="170"/>
      <c r="J106" s="170"/>
      <c r="K106" s="170"/>
      <c r="L106" s="170"/>
      <c r="M106" s="170"/>
      <c r="N106" s="170"/>
      <c r="O106" s="170"/>
      <c r="P106" s="170"/>
      <c r="Q106" s="170"/>
      <c r="R106" s="170"/>
      <c r="S106" s="170"/>
      <c r="T106" s="170"/>
      <c r="U106" s="170"/>
      <c r="V106" s="170"/>
      <c r="W106" s="170"/>
      <c r="X106" s="170"/>
      <c r="Y106" s="170"/>
      <c r="Z106" s="156"/>
    </row>
    <row r="107" ht="15.75" customHeight="1">
      <c r="A107" s="44"/>
      <c r="B107" s="44"/>
      <c r="C107" s="169" t="s">
        <v>253</v>
      </c>
      <c r="D107" s="169" t="s">
        <v>254</v>
      </c>
      <c r="E107" s="168" t="s">
        <v>255</v>
      </c>
      <c r="F107" s="170"/>
      <c r="G107" s="170"/>
      <c r="H107" s="170"/>
      <c r="I107" s="170"/>
      <c r="J107" s="170"/>
      <c r="K107" s="170"/>
      <c r="L107" s="170"/>
      <c r="M107" s="170"/>
      <c r="N107" s="170"/>
      <c r="O107" s="170"/>
      <c r="P107" s="170"/>
      <c r="Q107" s="170"/>
      <c r="R107" s="170"/>
      <c r="S107" s="170"/>
      <c r="T107" s="170"/>
      <c r="U107" s="170"/>
      <c r="V107" s="170"/>
      <c r="W107" s="170"/>
      <c r="X107" s="170"/>
      <c r="Y107" s="170"/>
      <c r="Z107" s="156"/>
    </row>
    <row r="108" ht="15.75" customHeight="1">
      <c r="A108" s="44"/>
      <c r="B108" s="44"/>
      <c r="C108" s="169" t="s">
        <v>256</v>
      </c>
      <c r="D108" s="169" t="s">
        <v>256</v>
      </c>
      <c r="E108" s="168" t="s">
        <v>257</v>
      </c>
      <c r="F108" s="170"/>
      <c r="G108" s="170"/>
      <c r="H108" s="170"/>
      <c r="I108" s="170"/>
      <c r="J108" s="170"/>
      <c r="K108" s="170"/>
      <c r="L108" s="170"/>
      <c r="M108" s="170"/>
      <c r="N108" s="170"/>
      <c r="O108" s="170"/>
      <c r="P108" s="170"/>
      <c r="Q108" s="170"/>
      <c r="R108" s="170"/>
      <c r="S108" s="170"/>
      <c r="T108" s="170"/>
      <c r="U108" s="170"/>
      <c r="V108" s="170"/>
      <c r="W108" s="170"/>
      <c r="X108" s="170"/>
      <c r="Y108" s="170"/>
      <c r="Z108" s="156"/>
    </row>
    <row r="109" ht="15.75" customHeight="1">
      <c r="A109" s="44"/>
      <c r="B109" s="44"/>
      <c r="C109" s="169" t="s">
        <v>249</v>
      </c>
      <c r="D109" s="169"/>
      <c r="E109" s="177"/>
      <c r="F109" s="170"/>
      <c r="G109" s="170"/>
      <c r="H109" s="170"/>
      <c r="I109" s="170"/>
      <c r="J109" s="170"/>
      <c r="K109" s="170"/>
      <c r="L109" s="170"/>
      <c r="M109" s="170"/>
      <c r="N109" s="170"/>
      <c r="O109" s="170"/>
      <c r="P109" s="170"/>
      <c r="Q109" s="170"/>
      <c r="R109" s="170"/>
      <c r="S109" s="170"/>
      <c r="T109" s="170"/>
      <c r="U109" s="170"/>
      <c r="V109" s="170"/>
      <c r="W109" s="170"/>
      <c r="X109" s="170"/>
      <c r="Y109" s="170"/>
      <c r="Z109" s="156"/>
    </row>
    <row r="110" ht="15.75" customHeight="1">
      <c r="A110" s="44"/>
      <c r="B110" s="44"/>
      <c r="C110" s="169" t="s">
        <v>249</v>
      </c>
      <c r="D110" s="169"/>
      <c r="E110" s="177"/>
      <c r="F110" s="170"/>
      <c r="G110" s="170"/>
      <c r="H110" s="170"/>
      <c r="I110" s="170"/>
      <c r="J110" s="170"/>
      <c r="K110" s="170"/>
      <c r="L110" s="170"/>
      <c r="M110" s="170"/>
      <c r="N110" s="170"/>
      <c r="O110" s="170"/>
      <c r="P110" s="170"/>
      <c r="Q110" s="170"/>
      <c r="R110" s="170"/>
      <c r="S110" s="170"/>
      <c r="T110" s="170"/>
      <c r="U110" s="170"/>
      <c r="V110" s="170"/>
      <c r="W110" s="170"/>
      <c r="X110" s="170"/>
      <c r="Y110" s="170"/>
      <c r="Z110" s="156"/>
    </row>
    <row r="111" ht="15.75" customHeight="1">
      <c r="A111" s="44"/>
      <c r="B111" s="44"/>
      <c r="C111" s="169" t="s">
        <v>249</v>
      </c>
      <c r="D111" s="169"/>
      <c r="E111" s="177"/>
      <c r="F111" s="170"/>
      <c r="G111" s="170"/>
      <c r="H111" s="170"/>
      <c r="I111" s="170"/>
      <c r="J111" s="170"/>
      <c r="K111" s="170"/>
      <c r="L111" s="170"/>
      <c r="M111" s="170"/>
      <c r="N111" s="170"/>
      <c r="O111" s="170"/>
      <c r="P111" s="170"/>
      <c r="Q111" s="170"/>
      <c r="R111" s="170"/>
      <c r="S111" s="170"/>
      <c r="T111" s="170"/>
      <c r="U111" s="170"/>
      <c r="V111" s="170"/>
      <c r="W111" s="170"/>
      <c r="X111" s="170"/>
      <c r="Y111" s="170"/>
      <c r="Z111" s="156"/>
    </row>
    <row r="112" ht="15.75" customHeight="1">
      <c r="A112" s="44"/>
      <c r="B112" s="44"/>
      <c r="C112" s="169" t="s">
        <v>249</v>
      </c>
      <c r="D112" s="169"/>
      <c r="E112" s="177"/>
      <c r="F112" s="170"/>
      <c r="G112" s="170"/>
      <c r="H112" s="170"/>
      <c r="I112" s="170"/>
      <c r="J112" s="170"/>
      <c r="K112" s="170"/>
      <c r="L112" s="170"/>
      <c r="M112" s="170"/>
      <c r="N112" s="170"/>
      <c r="O112" s="170"/>
      <c r="P112" s="170"/>
      <c r="Q112" s="170"/>
      <c r="R112" s="170"/>
      <c r="S112" s="170"/>
      <c r="T112" s="170"/>
      <c r="U112" s="170"/>
      <c r="V112" s="170"/>
      <c r="W112" s="170"/>
      <c r="X112" s="170"/>
      <c r="Y112" s="170"/>
      <c r="Z112" s="156"/>
    </row>
    <row r="113" ht="15.75" customHeight="1">
      <c r="A113" s="68"/>
      <c r="B113" s="68"/>
      <c r="C113" s="169" t="s">
        <v>249</v>
      </c>
      <c r="D113" s="169"/>
      <c r="E113" s="177"/>
      <c r="F113" s="170"/>
      <c r="G113" s="170"/>
      <c r="H113" s="170"/>
      <c r="I113" s="170"/>
      <c r="J113" s="170"/>
      <c r="K113" s="170"/>
      <c r="L113" s="170"/>
      <c r="M113" s="170"/>
      <c r="N113" s="170"/>
      <c r="O113" s="170"/>
      <c r="P113" s="170"/>
      <c r="Q113" s="170"/>
      <c r="R113" s="170"/>
      <c r="S113" s="170"/>
      <c r="T113" s="170"/>
      <c r="U113" s="170"/>
      <c r="V113" s="170"/>
      <c r="W113" s="170"/>
      <c r="X113" s="170"/>
      <c r="Y113" s="170"/>
      <c r="Z113" s="156"/>
    </row>
    <row r="114" ht="15.75" customHeight="1">
      <c r="A114" s="184">
        <v>1974.0</v>
      </c>
      <c r="B114" s="184"/>
      <c r="C114" s="169"/>
      <c r="D114" s="170"/>
      <c r="E114" s="177"/>
      <c r="F114" s="170"/>
      <c r="G114" s="170"/>
      <c r="H114" s="170"/>
      <c r="I114" s="170"/>
      <c r="J114" s="170"/>
      <c r="K114" s="170"/>
      <c r="L114" s="170"/>
      <c r="M114" s="170"/>
      <c r="N114" s="170"/>
      <c r="O114" s="170"/>
      <c r="P114" s="170"/>
      <c r="Q114" s="170"/>
      <c r="R114" s="170"/>
      <c r="S114" s="170"/>
      <c r="T114" s="170"/>
      <c r="U114" s="170"/>
      <c r="V114" s="170"/>
      <c r="W114" s="170"/>
      <c r="X114" s="170"/>
      <c r="Y114" s="170"/>
      <c r="Z114" s="156"/>
    </row>
    <row r="115" ht="15.75" customHeight="1">
      <c r="A115" s="184">
        <v>1973.0</v>
      </c>
      <c r="B115" s="184"/>
      <c r="C115" s="170"/>
      <c r="D115" s="170"/>
      <c r="E115" s="177"/>
      <c r="F115" s="170"/>
      <c r="G115" s="170"/>
      <c r="H115" s="170"/>
      <c r="I115" s="170"/>
      <c r="J115" s="170"/>
      <c r="K115" s="170"/>
      <c r="L115" s="170"/>
      <c r="M115" s="170"/>
      <c r="N115" s="170"/>
      <c r="O115" s="170"/>
      <c r="P115" s="170"/>
      <c r="Q115" s="170"/>
      <c r="R115" s="170"/>
      <c r="S115" s="170"/>
      <c r="T115" s="170"/>
      <c r="U115" s="170"/>
      <c r="V115" s="170"/>
      <c r="W115" s="170"/>
      <c r="X115" s="170"/>
      <c r="Y115" s="170"/>
      <c r="Z115" s="156"/>
    </row>
    <row r="116" ht="15.75" customHeight="1">
      <c r="A116" s="184">
        <v>1972.0</v>
      </c>
      <c r="B116" s="184"/>
      <c r="C116" s="170"/>
      <c r="D116" s="170"/>
      <c r="E116" s="177"/>
      <c r="F116" s="170"/>
      <c r="G116" s="170"/>
      <c r="H116" s="170"/>
      <c r="I116" s="170"/>
      <c r="J116" s="170"/>
      <c r="K116" s="170"/>
      <c r="L116" s="170"/>
      <c r="M116" s="170"/>
      <c r="N116" s="170"/>
      <c r="O116" s="170"/>
      <c r="P116" s="170"/>
      <c r="Q116" s="170"/>
      <c r="R116" s="170"/>
      <c r="S116" s="170"/>
      <c r="T116" s="170"/>
      <c r="U116" s="170"/>
      <c r="V116" s="170"/>
      <c r="W116" s="170"/>
      <c r="X116" s="170"/>
      <c r="Y116" s="170"/>
      <c r="Z116" s="156"/>
    </row>
    <row r="117" ht="15.75" customHeight="1">
      <c r="A117" s="184">
        <v>1971.0</v>
      </c>
      <c r="B117" s="184"/>
      <c r="C117" s="170"/>
      <c r="D117" s="170"/>
      <c r="E117" s="177"/>
      <c r="F117" s="170"/>
      <c r="G117" s="170"/>
      <c r="H117" s="170"/>
      <c r="I117" s="170"/>
      <c r="J117" s="170"/>
      <c r="K117" s="170"/>
      <c r="L117" s="170"/>
      <c r="M117" s="170"/>
      <c r="N117" s="170"/>
      <c r="O117" s="170"/>
      <c r="P117" s="170"/>
      <c r="Q117" s="170"/>
      <c r="R117" s="170"/>
      <c r="S117" s="170"/>
      <c r="T117" s="170"/>
      <c r="U117" s="170"/>
      <c r="V117" s="170"/>
      <c r="W117" s="170"/>
      <c r="X117" s="170"/>
      <c r="Y117" s="170"/>
      <c r="Z117" s="156"/>
    </row>
    <row r="118" ht="15.75" customHeight="1">
      <c r="A118" s="184">
        <v>1970.0</v>
      </c>
      <c r="B118" s="184"/>
      <c r="C118" s="170"/>
      <c r="D118" s="170"/>
      <c r="E118" s="177"/>
      <c r="F118" s="170"/>
      <c r="G118" s="170"/>
      <c r="H118" s="170"/>
      <c r="I118" s="170"/>
      <c r="J118" s="170"/>
      <c r="K118" s="170"/>
      <c r="L118" s="170"/>
      <c r="M118" s="170"/>
      <c r="N118" s="170"/>
      <c r="O118" s="170"/>
      <c r="P118" s="170"/>
      <c r="Q118" s="170"/>
      <c r="R118" s="170"/>
      <c r="S118" s="170"/>
      <c r="T118" s="170"/>
      <c r="U118" s="170"/>
      <c r="V118" s="170"/>
      <c r="W118" s="170"/>
      <c r="X118" s="170"/>
      <c r="Y118" s="170"/>
      <c r="Z118" s="156"/>
    </row>
    <row r="119" ht="15.75" customHeight="1">
      <c r="A119" s="184">
        <v>1969.0</v>
      </c>
      <c r="B119" s="184"/>
      <c r="C119" s="170"/>
      <c r="D119" s="170"/>
      <c r="E119" s="177"/>
      <c r="F119" s="170"/>
      <c r="G119" s="170"/>
      <c r="H119" s="170"/>
      <c r="I119" s="170"/>
      <c r="J119" s="170"/>
      <c r="K119" s="170"/>
      <c r="L119" s="170"/>
      <c r="M119" s="170"/>
      <c r="N119" s="170"/>
      <c r="O119" s="170"/>
      <c r="P119" s="170"/>
      <c r="Q119" s="170"/>
      <c r="R119" s="170"/>
      <c r="S119" s="170"/>
      <c r="T119" s="170"/>
      <c r="U119" s="170"/>
      <c r="V119" s="170"/>
      <c r="W119" s="170"/>
      <c r="X119" s="170"/>
      <c r="Y119" s="170"/>
      <c r="Z119" s="156"/>
    </row>
    <row r="120" ht="15.75" customHeight="1">
      <c r="A120" s="184">
        <v>1968.0</v>
      </c>
      <c r="B120" s="184"/>
      <c r="C120" s="170"/>
      <c r="D120" s="170"/>
      <c r="E120" s="177"/>
      <c r="F120" s="170"/>
      <c r="G120" s="170"/>
      <c r="H120" s="170"/>
      <c r="I120" s="170"/>
      <c r="J120" s="170"/>
      <c r="K120" s="170"/>
      <c r="L120" s="170"/>
      <c r="M120" s="170"/>
      <c r="N120" s="170"/>
      <c r="O120" s="170"/>
      <c r="P120" s="170"/>
      <c r="Q120" s="170"/>
      <c r="R120" s="170"/>
      <c r="S120" s="170"/>
      <c r="T120" s="170"/>
      <c r="U120" s="170"/>
      <c r="V120" s="170"/>
      <c r="W120" s="170"/>
      <c r="X120" s="170"/>
      <c r="Y120" s="170"/>
      <c r="Z120" s="156"/>
    </row>
    <row r="121" ht="15.75" customHeight="1">
      <c r="A121" s="184"/>
      <c r="B121" s="184"/>
      <c r="C121" s="170"/>
      <c r="D121" s="170"/>
      <c r="E121" s="177"/>
      <c r="F121" s="170"/>
      <c r="G121" s="170"/>
      <c r="H121" s="170"/>
      <c r="I121" s="170"/>
      <c r="J121" s="170"/>
      <c r="K121" s="170"/>
      <c r="L121" s="170"/>
      <c r="M121" s="170"/>
      <c r="N121" s="170"/>
      <c r="O121" s="170"/>
      <c r="P121" s="170"/>
      <c r="Q121" s="170"/>
      <c r="R121" s="170"/>
      <c r="S121" s="170"/>
      <c r="T121" s="170"/>
      <c r="U121" s="170"/>
      <c r="V121" s="170"/>
      <c r="W121" s="170"/>
      <c r="X121" s="170"/>
      <c r="Y121" s="170"/>
      <c r="Z121" s="156"/>
    </row>
    <row r="122" ht="15.75" customHeight="1">
      <c r="A122" s="184"/>
      <c r="B122" s="184"/>
      <c r="C122" s="170"/>
      <c r="D122" s="170"/>
      <c r="E122" s="177"/>
      <c r="F122" s="170"/>
      <c r="G122" s="170"/>
      <c r="H122" s="170"/>
      <c r="I122" s="170"/>
      <c r="J122" s="170"/>
      <c r="K122" s="170"/>
      <c r="L122" s="170"/>
      <c r="M122" s="170"/>
      <c r="N122" s="170"/>
      <c r="O122" s="170"/>
      <c r="P122" s="170"/>
      <c r="Q122" s="170"/>
      <c r="R122" s="170"/>
      <c r="S122" s="170"/>
      <c r="T122" s="170"/>
      <c r="U122" s="170"/>
      <c r="V122" s="170"/>
      <c r="W122" s="170"/>
      <c r="X122" s="170"/>
      <c r="Y122" s="170"/>
      <c r="Z122" s="156"/>
    </row>
    <row r="123" ht="15.75" customHeight="1">
      <c r="A123" s="184"/>
      <c r="B123" s="184"/>
      <c r="C123" s="170"/>
      <c r="D123" s="170"/>
      <c r="E123" s="177"/>
      <c r="F123" s="170"/>
      <c r="G123" s="170"/>
      <c r="H123" s="170"/>
      <c r="I123" s="170"/>
      <c r="J123" s="170"/>
      <c r="K123" s="170"/>
      <c r="L123" s="170"/>
      <c r="M123" s="170"/>
      <c r="N123" s="170"/>
      <c r="O123" s="170"/>
      <c r="P123" s="170"/>
      <c r="Q123" s="170"/>
      <c r="R123" s="170"/>
      <c r="S123" s="170"/>
      <c r="T123" s="170"/>
      <c r="U123" s="170"/>
      <c r="V123" s="170"/>
      <c r="W123" s="170"/>
      <c r="X123" s="170"/>
      <c r="Y123" s="170"/>
      <c r="Z123" s="156"/>
    </row>
    <row r="124" ht="15.75" customHeight="1">
      <c r="A124" s="184"/>
      <c r="B124" s="184"/>
      <c r="C124" s="170"/>
      <c r="D124" s="170"/>
      <c r="E124" s="177"/>
      <c r="F124" s="170"/>
      <c r="G124" s="170"/>
      <c r="H124" s="170"/>
      <c r="I124" s="170"/>
      <c r="J124" s="170"/>
      <c r="K124" s="170"/>
      <c r="L124" s="170"/>
      <c r="M124" s="170"/>
      <c r="N124" s="170"/>
      <c r="O124" s="170"/>
      <c r="P124" s="170"/>
      <c r="Q124" s="170"/>
      <c r="R124" s="170"/>
      <c r="S124" s="170"/>
      <c r="T124" s="170"/>
      <c r="U124" s="170"/>
      <c r="V124" s="170"/>
      <c r="W124" s="170"/>
      <c r="X124" s="170"/>
      <c r="Y124" s="170"/>
      <c r="Z124" s="156"/>
    </row>
    <row r="125" ht="15.75" customHeight="1">
      <c r="A125" s="184"/>
      <c r="B125" s="184"/>
      <c r="C125" s="170"/>
      <c r="D125" s="170"/>
      <c r="E125" s="177"/>
      <c r="F125" s="170"/>
      <c r="G125" s="170"/>
      <c r="H125" s="170"/>
      <c r="I125" s="170"/>
      <c r="J125" s="170"/>
      <c r="K125" s="170"/>
      <c r="L125" s="170"/>
      <c r="M125" s="170"/>
      <c r="N125" s="170"/>
      <c r="O125" s="170"/>
      <c r="P125" s="170"/>
      <c r="Q125" s="170"/>
      <c r="R125" s="170"/>
      <c r="S125" s="170"/>
      <c r="T125" s="170"/>
      <c r="U125" s="170"/>
      <c r="V125" s="170"/>
      <c r="W125" s="170"/>
      <c r="X125" s="170"/>
      <c r="Y125" s="170"/>
      <c r="Z125" s="156"/>
    </row>
    <row r="126" ht="15.75" customHeight="1">
      <c r="A126" s="184"/>
      <c r="B126" s="184"/>
      <c r="C126" s="170"/>
      <c r="D126" s="170"/>
      <c r="E126" s="177"/>
      <c r="F126" s="170"/>
      <c r="G126" s="170"/>
      <c r="H126" s="170"/>
      <c r="I126" s="170"/>
      <c r="J126" s="170"/>
      <c r="K126" s="170"/>
      <c r="L126" s="170"/>
      <c r="M126" s="170"/>
      <c r="N126" s="170"/>
      <c r="O126" s="170"/>
      <c r="P126" s="170"/>
      <c r="Q126" s="170"/>
      <c r="R126" s="170"/>
      <c r="S126" s="170"/>
      <c r="T126" s="170"/>
      <c r="U126" s="170"/>
      <c r="V126" s="170"/>
      <c r="W126" s="170"/>
      <c r="X126" s="170"/>
      <c r="Y126" s="170"/>
      <c r="Z126" s="156"/>
    </row>
    <row r="127" ht="15.75" customHeight="1">
      <c r="A127" s="184"/>
      <c r="B127" s="184"/>
      <c r="C127" s="170"/>
      <c r="D127" s="170"/>
      <c r="E127" s="177"/>
      <c r="F127" s="170"/>
      <c r="G127" s="170"/>
      <c r="H127" s="170"/>
      <c r="I127" s="170"/>
      <c r="J127" s="170"/>
      <c r="K127" s="170"/>
      <c r="L127" s="170"/>
      <c r="M127" s="170"/>
      <c r="N127" s="170"/>
      <c r="O127" s="170"/>
      <c r="P127" s="170"/>
      <c r="Q127" s="170"/>
      <c r="R127" s="170"/>
      <c r="S127" s="170"/>
      <c r="T127" s="170"/>
      <c r="U127" s="170"/>
      <c r="V127" s="170"/>
      <c r="W127" s="170"/>
      <c r="X127" s="170"/>
      <c r="Y127" s="170"/>
      <c r="Z127" s="156"/>
    </row>
    <row r="128" ht="15.75" customHeight="1">
      <c r="A128" s="184"/>
      <c r="B128" s="184"/>
      <c r="C128" s="170"/>
      <c r="D128" s="170"/>
      <c r="E128" s="177"/>
      <c r="F128" s="170"/>
      <c r="G128" s="170"/>
      <c r="H128" s="170"/>
      <c r="I128" s="170"/>
      <c r="J128" s="170"/>
      <c r="K128" s="170"/>
      <c r="L128" s="170"/>
      <c r="M128" s="170"/>
      <c r="N128" s="170"/>
      <c r="O128" s="170"/>
      <c r="P128" s="170"/>
      <c r="Q128" s="170"/>
      <c r="R128" s="170"/>
      <c r="S128" s="170"/>
      <c r="T128" s="170"/>
      <c r="U128" s="170"/>
      <c r="V128" s="170"/>
      <c r="W128" s="170"/>
      <c r="X128" s="170"/>
      <c r="Y128" s="170"/>
      <c r="Z128" s="156"/>
    </row>
    <row r="129" ht="15.75" customHeight="1">
      <c r="A129" s="184"/>
      <c r="B129" s="184"/>
      <c r="C129" s="170"/>
      <c r="D129" s="170"/>
      <c r="E129" s="177"/>
      <c r="F129" s="170"/>
      <c r="G129" s="170"/>
      <c r="H129" s="170"/>
      <c r="I129" s="170"/>
      <c r="J129" s="170"/>
      <c r="K129" s="170"/>
      <c r="L129" s="170"/>
      <c r="M129" s="170"/>
      <c r="N129" s="170"/>
      <c r="O129" s="170"/>
      <c r="P129" s="170"/>
      <c r="Q129" s="170"/>
      <c r="R129" s="170"/>
      <c r="S129" s="170"/>
      <c r="T129" s="170"/>
      <c r="U129" s="170"/>
      <c r="V129" s="170"/>
      <c r="W129" s="170"/>
      <c r="X129" s="170"/>
      <c r="Y129" s="170"/>
      <c r="Z129" s="156"/>
    </row>
    <row r="130" ht="15.75" customHeight="1">
      <c r="A130" s="184"/>
      <c r="B130" s="184"/>
      <c r="C130" s="170"/>
      <c r="D130" s="170"/>
      <c r="E130" s="177"/>
      <c r="F130" s="170"/>
      <c r="G130" s="170"/>
      <c r="H130" s="170"/>
      <c r="I130" s="170"/>
      <c r="J130" s="170"/>
      <c r="K130" s="170"/>
      <c r="L130" s="170"/>
      <c r="M130" s="170"/>
      <c r="N130" s="170"/>
      <c r="O130" s="170"/>
      <c r="P130" s="170"/>
      <c r="Q130" s="170"/>
      <c r="R130" s="170"/>
      <c r="S130" s="170"/>
      <c r="T130" s="170"/>
      <c r="U130" s="170"/>
      <c r="V130" s="170"/>
      <c r="W130" s="170"/>
      <c r="X130" s="170"/>
      <c r="Y130" s="170"/>
      <c r="Z130" s="156"/>
    </row>
    <row r="131" ht="15.75" customHeight="1">
      <c r="A131" s="184"/>
      <c r="B131" s="184"/>
      <c r="C131" s="170"/>
      <c r="D131" s="170"/>
      <c r="E131" s="177"/>
      <c r="F131" s="170"/>
      <c r="G131" s="170"/>
      <c r="H131" s="170"/>
      <c r="I131" s="170"/>
      <c r="J131" s="170"/>
      <c r="K131" s="170"/>
      <c r="L131" s="170"/>
      <c r="M131" s="170"/>
      <c r="N131" s="170"/>
      <c r="O131" s="170"/>
      <c r="P131" s="170"/>
      <c r="Q131" s="170"/>
      <c r="R131" s="170"/>
      <c r="S131" s="170"/>
      <c r="T131" s="170"/>
      <c r="U131" s="170"/>
      <c r="V131" s="170"/>
      <c r="W131" s="170"/>
      <c r="X131" s="170"/>
      <c r="Y131" s="170"/>
      <c r="Z131" s="156"/>
    </row>
    <row r="132" ht="15.75" customHeight="1">
      <c r="A132" s="184"/>
      <c r="B132" s="184"/>
      <c r="C132" s="170"/>
      <c r="D132" s="170"/>
      <c r="E132" s="177"/>
      <c r="F132" s="170"/>
      <c r="G132" s="170"/>
      <c r="H132" s="170"/>
      <c r="I132" s="170"/>
      <c r="J132" s="170"/>
      <c r="K132" s="170"/>
      <c r="L132" s="170"/>
      <c r="M132" s="170"/>
      <c r="N132" s="170"/>
      <c r="O132" s="170"/>
      <c r="P132" s="170"/>
      <c r="Q132" s="170"/>
      <c r="R132" s="170"/>
      <c r="S132" s="170"/>
      <c r="T132" s="170"/>
      <c r="U132" s="170"/>
      <c r="V132" s="170"/>
      <c r="W132" s="170"/>
      <c r="X132" s="170"/>
      <c r="Y132" s="170"/>
      <c r="Z132" s="156"/>
    </row>
    <row r="133" ht="15.75" customHeight="1">
      <c r="A133" s="184"/>
      <c r="B133" s="184"/>
      <c r="C133" s="170"/>
      <c r="D133" s="170"/>
      <c r="E133" s="177"/>
      <c r="F133" s="170"/>
      <c r="G133" s="170"/>
      <c r="H133" s="170"/>
      <c r="I133" s="170"/>
      <c r="J133" s="170"/>
      <c r="K133" s="170"/>
      <c r="L133" s="170"/>
      <c r="M133" s="170"/>
      <c r="N133" s="170"/>
      <c r="O133" s="170"/>
      <c r="P133" s="170"/>
      <c r="Q133" s="170"/>
      <c r="R133" s="170"/>
      <c r="S133" s="170"/>
      <c r="T133" s="170"/>
      <c r="U133" s="170"/>
      <c r="V133" s="170"/>
      <c r="W133" s="170"/>
      <c r="X133" s="170"/>
      <c r="Y133" s="170"/>
      <c r="Z133" s="156"/>
    </row>
    <row r="134" ht="15.75" customHeight="1">
      <c r="A134" s="184"/>
      <c r="B134" s="184"/>
      <c r="C134" s="170"/>
      <c r="D134" s="170"/>
      <c r="E134" s="177"/>
      <c r="F134" s="170"/>
      <c r="G134" s="170"/>
      <c r="H134" s="170"/>
      <c r="I134" s="170"/>
      <c r="J134" s="170"/>
      <c r="K134" s="170"/>
      <c r="L134" s="170"/>
      <c r="M134" s="170"/>
      <c r="N134" s="170"/>
      <c r="O134" s="170"/>
      <c r="P134" s="170"/>
      <c r="Q134" s="170"/>
      <c r="R134" s="170"/>
      <c r="S134" s="170"/>
      <c r="T134" s="170"/>
      <c r="U134" s="170"/>
      <c r="V134" s="170"/>
      <c r="W134" s="170"/>
      <c r="X134" s="170"/>
      <c r="Y134" s="170"/>
      <c r="Z134" s="156"/>
    </row>
    <row r="135" ht="15.75" customHeight="1">
      <c r="A135" s="184"/>
      <c r="B135" s="184"/>
      <c r="C135" s="170"/>
      <c r="D135" s="170"/>
      <c r="E135" s="177"/>
      <c r="F135" s="170"/>
      <c r="G135" s="170"/>
      <c r="H135" s="170"/>
      <c r="I135" s="170"/>
      <c r="J135" s="170"/>
      <c r="K135" s="170"/>
      <c r="L135" s="170"/>
      <c r="M135" s="170"/>
      <c r="N135" s="170"/>
      <c r="O135" s="170"/>
      <c r="P135" s="170"/>
      <c r="Q135" s="170"/>
      <c r="R135" s="170"/>
      <c r="S135" s="170"/>
      <c r="T135" s="170"/>
      <c r="U135" s="170"/>
      <c r="V135" s="170"/>
      <c r="W135" s="170"/>
      <c r="X135" s="170"/>
      <c r="Y135" s="170"/>
      <c r="Z135" s="156"/>
    </row>
    <row r="136" ht="15.75" customHeight="1">
      <c r="A136" s="184"/>
      <c r="B136" s="184"/>
      <c r="C136" s="170"/>
      <c r="D136" s="170"/>
      <c r="E136" s="177"/>
      <c r="F136" s="170"/>
      <c r="G136" s="170"/>
      <c r="H136" s="170"/>
      <c r="I136" s="170"/>
      <c r="J136" s="170"/>
      <c r="K136" s="170"/>
      <c r="L136" s="170"/>
      <c r="M136" s="170"/>
      <c r="N136" s="170"/>
      <c r="O136" s="170"/>
      <c r="P136" s="170"/>
      <c r="Q136" s="170"/>
      <c r="R136" s="170"/>
      <c r="S136" s="170"/>
      <c r="T136" s="170"/>
      <c r="U136" s="170"/>
      <c r="V136" s="170"/>
      <c r="W136" s="170"/>
      <c r="X136" s="170"/>
      <c r="Y136" s="170"/>
      <c r="Z136" s="156"/>
    </row>
    <row r="137" ht="15.75" customHeight="1">
      <c r="A137" s="184"/>
      <c r="B137" s="184"/>
      <c r="C137" s="170"/>
      <c r="D137" s="170"/>
      <c r="E137" s="177"/>
      <c r="F137" s="170"/>
      <c r="G137" s="170"/>
      <c r="H137" s="170"/>
      <c r="I137" s="170"/>
      <c r="J137" s="170"/>
      <c r="K137" s="170"/>
      <c r="L137" s="170"/>
      <c r="M137" s="170"/>
      <c r="N137" s="170"/>
      <c r="O137" s="170"/>
      <c r="P137" s="170"/>
      <c r="Q137" s="170"/>
      <c r="R137" s="170"/>
      <c r="S137" s="170"/>
      <c r="T137" s="170"/>
      <c r="U137" s="170"/>
      <c r="V137" s="170"/>
      <c r="W137" s="170"/>
      <c r="X137" s="170"/>
      <c r="Y137" s="170"/>
      <c r="Z137" s="156"/>
    </row>
    <row r="138" ht="15.75" customHeight="1">
      <c r="A138" s="184"/>
      <c r="B138" s="184"/>
      <c r="C138" s="170"/>
      <c r="D138" s="170"/>
      <c r="E138" s="177"/>
      <c r="F138" s="170"/>
      <c r="G138" s="170"/>
      <c r="H138" s="170"/>
      <c r="I138" s="170"/>
      <c r="J138" s="170"/>
      <c r="K138" s="170"/>
      <c r="L138" s="170"/>
      <c r="M138" s="170"/>
      <c r="N138" s="170"/>
      <c r="O138" s="170"/>
      <c r="P138" s="170"/>
      <c r="Q138" s="170"/>
      <c r="R138" s="170"/>
      <c r="S138" s="170"/>
      <c r="T138" s="170"/>
      <c r="U138" s="170"/>
      <c r="V138" s="170"/>
      <c r="W138" s="170"/>
      <c r="X138" s="170"/>
      <c r="Y138" s="170"/>
      <c r="Z138" s="156"/>
    </row>
    <row r="139" ht="15.75" customHeight="1">
      <c r="A139" s="184"/>
      <c r="B139" s="184"/>
      <c r="C139" s="170"/>
      <c r="D139" s="170"/>
      <c r="E139" s="177"/>
      <c r="F139" s="170"/>
      <c r="G139" s="170"/>
      <c r="H139" s="170"/>
      <c r="I139" s="170"/>
      <c r="J139" s="170"/>
      <c r="K139" s="170"/>
      <c r="L139" s="170"/>
      <c r="M139" s="170"/>
      <c r="N139" s="170"/>
      <c r="O139" s="170"/>
      <c r="P139" s="170"/>
      <c r="Q139" s="170"/>
      <c r="R139" s="170"/>
      <c r="S139" s="170"/>
      <c r="T139" s="170"/>
      <c r="U139" s="170"/>
      <c r="V139" s="170"/>
      <c r="W139" s="170"/>
      <c r="X139" s="170"/>
      <c r="Y139" s="170"/>
      <c r="Z139" s="156"/>
    </row>
    <row r="140" ht="15.75" customHeight="1">
      <c r="A140" s="184"/>
      <c r="B140" s="184"/>
      <c r="C140" s="170"/>
      <c r="D140" s="170"/>
      <c r="E140" s="177"/>
      <c r="F140" s="170"/>
      <c r="G140" s="170"/>
      <c r="H140" s="170"/>
      <c r="I140" s="170"/>
      <c r="J140" s="170"/>
      <c r="K140" s="170"/>
      <c r="L140" s="170"/>
      <c r="M140" s="170"/>
      <c r="N140" s="170"/>
      <c r="O140" s="170"/>
      <c r="P140" s="170"/>
      <c r="Q140" s="170"/>
      <c r="R140" s="170"/>
      <c r="S140" s="170"/>
      <c r="T140" s="170"/>
      <c r="U140" s="170"/>
      <c r="V140" s="170"/>
      <c r="W140" s="170"/>
      <c r="X140" s="170"/>
      <c r="Y140" s="170"/>
      <c r="Z140" s="156"/>
    </row>
    <row r="141" ht="15.75" customHeight="1">
      <c r="A141" s="184"/>
      <c r="B141" s="184"/>
      <c r="C141" s="170"/>
      <c r="D141" s="170"/>
      <c r="E141" s="177"/>
      <c r="F141" s="170"/>
      <c r="G141" s="170"/>
      <c r="H141" s="170"/>
      <c r="I141" s="170"/>
      <c r="J141" s="170"/>
      <c r="K141" s="170"/>
      <c r="L141" s="170"/>
      <c r="M141" s="170"/>
      <c r="N141" s="170"/>
      <c r="O141" s="170"/>
      <c r="P141" s="170"/>
      <c r="Q141" s="170"/>
      <c r="R141" s="170"/>
      <c r="S141" s="170"/>
      <c r="T141" s="170"/>
      <c r="U141" s="170"/>
      <c r="V141" s="170"/>
      <c r="W141" s="170"/>
      <c r="X141" s="170"/>
      <c r="Y141" s="170"/>
      <c r="Z141" s="156"/>
    </row>
    <row r="142" ht="15.75" customHeight="1">
      <c r="A142" s="184"/>
      <c r="B142" s="184"/>
      <c r="C142" s="170"/>
      <c r="D142" s="170"/>
      <c r="E142" s="177"/>
      <c r="F142" s="170"/>
      <c r="G142" s="170"/>
      <c r="H142" s="170"/>
      <c r="I142" s="170"/>
      <c r="J142" s="170"/>
      <c r="K142" s="170"/>
      <c r="L142" s="170"/>
      <c r="M142" s="170"/>
      <c r="N142" s="170"/>
      <c r="O142" s="170"/>
      <c r="P142" s="170"/>
      <c r="Q142" s="170"/>
      <c r="R142" s="170"/>
      <c r="S142" s="170"/>
      <c r="T142" s="170"/>
      <c r="U142" s="170"/>
      <c r="V142" s="170"/>
      <c r="W142" s="170"/>
      <c r="X142" s="170"/>
      <c r="Y142" s="170"/>
      <c r="Z142" s="156"/>
    </row>
    <row r="143" ht="15.75" customHeight="1">
      <c r="A143" s="184"/>
      <c r="B143" s="184"/>
      <c r="C143" s="170"/>
      <c r="D143" s="170"/>
      <c r="E143" s="177"/>
      <c r="F143" s="170"/>
      <c r="G143" s="170"/>
      <c r="H143" s="170"/>
      <c r="I143" s="170"/>
      <c r="J143" s="170"/>
      <c r="K143" s="170"/>
      <c r="L143" s="170"/>
      <c r="M143" s="170"/>
      <c r="N143" s="170"/>
      <c r="O143" s="170"/>
      <c r="P143" s="170"/>
      <c r="Q143" s="170"/>
      <c r="R143" s="170"/>
      <c r="S143" s="170"/>
      <c r="T143" s="170"/>
      <c r="U143" s="170"/>
      <c r="V143" s="170"/>
      <c r="W143" s="170"/>
      <c r="X143" s="170"/>
      <c r="Y143" s="170"/>
      <c r="Z143" s="156"/>
    </row>
    <row r="144" ht="15.75" customHeight="1">
      <c r="A144" s="184"/>
      <c r="B144" s="184"/>
      <c r="C144" s="170"/>
      <c r="D144" s="170"/>
      <c r="E144" s="177"/>
      <c r="F144" s="170"/>
      <c r="G144" s="170"/>
      <c r="H144" s="170"/>
      <c r="I144" s="170"/>
      <c r="J144" s="170"/>
      <c r="K144" s="170"/>
      <c r="L144" s="170"/>
      <c r="M144" s="170"/>
      <c r="N144" s="170"/>
      <c r="O144" s="170"/>
      <c r="P144" s="170"/>
      <c r="Q144" s="170"/>
      <c r="R144" s="170"/>
      <c r="S144" s="170"/>
      <c r="T144" s="170"/>
      <c r="U144" s="170"/>
      <c r="V144" s="170"/>
      <c r="W144" s="170"/>
      <c r="X144" s="170"/>
      <c r="Y144" s="170"/>
      <c r="Z144" s="156"/>
    </row>
    <row r="145" ht="15.75" customHeight="1">
      <c r="A145" s="184"/>
      <c r="B145" s="184"/>
      <c r="C145" s="170"/>
      <c r="D145" s="170"/>
      <c r="E145" s="177"/>
      <c r="F145" s="170"/>
      <c r="G145" s="170"/>
      <c r="H145" s="170"/>
      <c r="I145" s="170"/>
      <c r="J145" s="170"/>
      <c r="K145" s="170"/>
      <c r="L145" s="170"/>
      <c r="M145" s="170"/>
      <c r="N145" s="170"/>
      <c r="O145" s="170"/>
      <c r="P145" s="170"/>
      <c r="Q145" s="170"/>
      <c r="R145" s="170"/>
      <c r="S145" s="170"/>
      <c r="T145" s="170"/>
      <c r="U145" s="170"/>
      <c r="V145" s="170"/>
      <c r="W145" s="170"/>
      <c r="X145" s="170"/>
      <c r="Y145" s="170"/>
      <c r="Z145" s="156"/>
    </row>
    <row r="146" ht="15.75" customHeight="1">
      <c r="A146" s="184"/>
      <c r="B146" s="184"/>
      <c r="C146" s="170"/>
      <c r="D146" s="170"/>
      <c r="E146" s="177"/>
      <c r="F146" s="170"/>
      <c r="G146" s="170"/>
      <c r="H146" s="170"/>
      <c r="I146" s="170"/>
      <c r="J146" s="170"/>
      <c r="K146" s="170"/>
      <c r="L146" s="170"/>
      <c r="M146" s="170"/>
      <c r="N146" s="170"/>
      <c r="O146" s="170"/>
      <c r="P146" s="170"/>
      <c r="Q146" s="170"/>
      <c r="R146" s="170"/>
      <c r="S146" s="170"/>
      <c r="T146" s="170"/>
      <c r="U146" s="170"/>
      <c r="V146" s="170"/>
      <c r="W146" s="170"/>
      <c r="X146" s="170"/>
      <c r="Y146" s="170"/>
      <c r="Z146" s="156"/>
    </row>
    <row r="147" ht="15.75" customHeight="1">
      <c r="A147" s="184"/>
      <c r="B147" s="184"/>
      <c r="C147" s="170"/>
      <c r="D147" s="170"/>
      <c r="E147" s="177"/>
      <c r="F147" s="170"/>
      <c r="G147" s="170"/>
      <c r="H147" s="170"/>
      <c r="I147" s="170"/>
      <c r="J147" s="170"/>
      <c r="K147" s="170"/>
      <c r="L147" s="170"/>
      <c r="M147" s="170"/>
      <c r="N147" s="170"/>
      <c r="O147" s="170"/>
      <c r="P147" s="170"/>
      <c r="Q147" s="170"/>
      <c r="R147" s="170"/>
      <c r="S147" s="170"/>
      <c r="T147" s="170"/>
      <c r="U147" s="170"/>
      <c r="V147" s="170"/>
      <c r="W147" s="170"/>
      <c r="X147" s="170"/>
      <c r="Y147" s="170"/>
      <c r="Z147" s="156"/>
    </row>
    <row r="148" ht="15.75" customHeight="1">
      <c r="A148" s="184"/>
      <c r="B148" s="184"/>
      <c r="C148" s="170"/>
      <c r="D148" s="170"/>
      <c r="E148" s="177"/>
      <c r="F148" s="170"/>
      <c r="G148" s="170"/>
      <c r="H148" s="170"/>
      <c r="I148" s="170"/>
      <c r="J148" s="170"/>
      <c r="K148" s="170"/>
      <c r="L148" s="170"/>
      <c r="M148" s="170"/>
      <c r="N148" s="170"/>
      <c r="O148" s="170"/>
      <c r="P148" s="170"/>
      <c r="Q148" s="170"/>
      <c r="R148" s="170"/>
      <c r="S148" s="170"/>
      <c r="T148" s="170"/>
      <c r="U148" s="170"/>
      <c r="V148" s="170"/>
      <c r="W148" s="170"/>
      <c r="X148" s="170"/>
      <c r="Y148" s="170"/>
      <c r="Z148" s="156"/>
    </row>
    <row r="149" ht="15.75" customHeight="1">
      <c r="A149" s="184"/>
      <c r="B149" s="184"/>
      <c r="C149" s="170"/>
      <c r="D149" s="170"/>
      <c r="E149" s="177"/>
      <c r="F149" s="170"/>
      <c r="G149" s="170"/>
      <c r="H149" s="170"/>
      <c r="I149" s="170"/>
      <c r="J149" s="170"/>
      <c r="K149" s="170"/>
      <c r="L149" s="170"/>
      <c r="M149" s="170"/>
      <c r="N149" s="170"/>
      <c r="O149" s="170"/>
      <c r="P149" s="170"/>
      <c r="Q149" s="170"/>
      <c r="R149" s="170"/>
      <c r="S149" s="170"/>
      <c r="T149" s="170"/>
      <c r="U149" s="170"/>
      <c r="V149" s="170"/>
      <c r="W149" s="170"/>
      <c r="X149" s="170"/>
      <c r="Y149" s="170"/>
      <c r="Z149" s="156"/>
    </row>
    <row r="150" ht="15.75" customHeight="1">
      <c r="A150" s="184"/>
      <c r="B150" s="184"/>
      <c r="C150" s="170"/>
      <c r="D150" s="170"/>
      <c r="E150" s="177"/>
      <c r="F150" s="170"/>
      <c r="G150" s="170"/>
      <c r="H150" s="170"/>
      <c r="I150" s="170"/>
      <c r="J150" s="170"/>
      <c r="K150" s="170"/>
      <c r="L150" s="170"/>
      <c r="M150" s="170"/>
      <c r="N150" s="170"/>
      <c r="O150" s="170"/>
      <c r="P150" s="170"/>
      <c r="Q150" s="170"/>
      <c r="R150" s="170"/>
      <c r="S150" s="170"/>
      <c r="T150" s="170"/>
      <c r="U150" s="170"/>
      <c r="V150" s="170"/>
      <c r="W150" s="170"/>
      <c r="X150" s="170"/>
      <c r="Y150" s="170"/>
      <c r="Z150" s="156"/>
    </row>
    <row r="151" ht="15.75" customHeight="1">
      <c r="A151" s="184"/>
      <c r="B151" s="184"/>
      <c r="C151" s="170"/>
      <c r="D151" s="170"/>
      <c r="E151" s="177"/>
      <c r="F151" s="170"/>
      <c r="G151" s="170"/>
      <c r="H151" s="170"/>
      <c r="I151" s="170"/>
      <c r="J151" s="170"/>
      <c r="K151" s="170"/>
      <c r="L151" s="170"/>
      <c r="M151" s="170"/>
      <c r="N151" s="170"/>
      <c r="O151" s="170"/>
      <c r="P151" s="170"/>
      <c r="Q151" s="170"/>
      <c r="R151" s="170"/>
      <c r="S151" s="170"/>
      <c r="T151" s="170"/>
      <c r="U151" s="170"/>
      <c r="V151" s="170"/>
      <c r="W151" s="170"/>
      <c r="X151" s="170"/>
      <c r="Y151" s="170"/>
      <c r="Z151" s="156"/>
    </row>
    <row r="152" ht="15.75" customHeight="1">
      <c r="A152" s="184"/>
      <c r="B152" s="184"/>
      <c r="C152" s="170"/>
      <c r="D152" s="170"/>
      <c r="E152" s="177"/>
      <c r="F152" s="170"/>
      <c r="G152" s="170"/>
      <c r="H152" s="170"/>
      <c r="I152" s="170"/>
      <c r="J152" s="170"/>
      <c r="K152" s="170"/>
      <c r="L152" s="170"/>
      <c r="M152" s="170"/>
      <c r="N152" s="170"/>
      <c r="O152" s="170"/>
      <c r="P152" s="170"/>
      <c r="Q152" s="170"/>
      <c r="R152" s="170"/>
      <c r="S152" s="170"/>
      <c r="T152" s="170"/>
      <c r="U152" s="170"/>
      <c r="V152" s="170"/>
      <c r="W152" s="170"/>
      <c r="X152" s="170"/>
      <c r="Y152" s="170"/>
      <c r="Z152" s="156"/>
    </row>
    <row r="153" ht="15.75" customHeight="1">
      <c r="A153" s="184"/>
      <c r="B153" s="184"/>
      <c r="C153" s="170"/>
      <c r="D153" s="170"/>
      <c r="E153" s="177"/>
      <c r="F153" s="170"/>
      <c r="G153" s="170"/>
      <c r="H153" s="170"/>
      <c r="I153" s="170"/>
      <c r="J153" s="170"/>
      <c r="K153" s="170"/>
      <c r="L153" s="170"/>
      <c r="M153" s="170"/>
      <c r="N153" s="170"/>
      <c r="O153" s="170"/>
      <c r="P153" s="170"/>
      <c r="Q153" s="170"/>
      <c r="R153" s="170"/>
      <c r="S153" s="170"/>
      <c r="T153" s="170"/>
      <c r="U153" s="170"/>
      <c r="V153" s="170"/>
      <c r="W153" s="170"/>
      <c r="X153" s="170"/>
      <c r="Y153" s="170"/>
      <c r="Z153" s="156"/>
    </row>
    <row r="154" ht="15.75" customHeight="1">
      <c r="A154" s="184"/>
      <c r="B154" s="184"/>
      <c r="C154" s="170"/>
      <c r="D154" s="170"/>
      <c r="E154" s="177"/>
      <c r="F154" s="170"/>
      <c r="G154" s="170"/>
      <c r="H154" s="170"/>
      <c r="I154" s="170"/>
      <c r="J154" s="170"/>
      <c r="K154" s="170"/>
      <c r="L154" s="170"/>
      <c r="M154" s="170"/>
      <c r="N154" s="170"/>
      <c r="O154" s="170"/>
      <c r="P154" s="170"/>
      <c r="Q154" s="170"/>
      <c r="R154" s="170"/>
      <c r="S154" s="170"/>
      <c r="T154" s="170"/>
      <c r="U154" s="170"/>
      <c r="V154" s="170"/>
      <c r="W154" s="170"/>
      <c r="X154" s="170"/>
      <c r="Y154" s="170"/>
      <c r="Z154" s="156"/>
    </row>
    <row r="155" ht="15.75" customHeight="1">
      <c r="A155" s="184"/>
      <c r="B155" s="184"/>
      <c r="C155" s="170"/>
      <c r="D155" s="170"/>
      <c r="E155" s="177"/>
      <c r="F155" s="170"/>
      <c r="G155" s="170"/>
      <c r="H155" s="170"/>
      <c r="I155" s="170"/>
      <c r="J155" s="170"/>
      <c r="K155" s="170"/>
      <c r="L155" s="170"/>
      <c r="M155" s="170"/>
      <c r="N155" s="170"/>
      <c r="O155" s="170"/>
      <c r="P155" s="170"/>
      <c r="Q155" s="170"/>
      <c r="R155" s="170"/>
      <c r="S155" s="170"/>
      <c r="T155" s="170"/>
      <c r="U155" s="170"/>
      <c r="V155" s="170"/>
      <c r="W155" s="170"/>
      <c r="X155" s="170"/>
      <c r="Y155" s="170"/>
      <c r="Z155" s="156"/>
    </row>
    <row r="156" ht="15.75" customHeight="1">
      <c r="A156" s="184"/>
      <c r="B156" s="184"/>
      <c r="C156" s="170"/>
      <c r="D156" s="170"/>
      <c r="E156" s="177"/>
      <c r="F156" s="170"/>
      <c r="G156" s="170"/>
      <c r="H156" s="170"/>
      <c r="I156" s="170"/>
      <c r="J156" s="170"/>
      <c r="K156" s="170"/>
      <c r="L156" s="170"/>
      <c r="M156" s="170"/>
      <c r="N156" s="170"/>
      <c r="O156" s="170"/>
      <c r="P156" s="170"/>
      <c r="Q156" s="170"/>
      <c r="R156" s="170"/>
      <c r="S156" s="170"/>
      <c r="T156" s="170"/>
      <c r="U156" s="170"/>
      <c r="V156" s="170"/>
      <c r="W156" s="170"/>
      <c r="X156" s="170"/>
      <c r="Y156" s="170"/>
      <c r="Z156" s="156"/>
    </row>
    <row r="157" ht="15.75" customHeight="1">
      <c r="A157" s="184"/>
      <c r="B157" s="184"/>
      <c r="C157" s="170"/>
      <c r="D157" s="170"/>
      <c r="E157" s="177"/>
      <c r="F157" s="170"/>
      <c r="G157" s="170"/>
      <c r="H157" s="170"/>
      <c r="I157" s="170"/>
      <c r="J157" s="170"/>
      <c r="K157" s="170"/>
      <c r="L157" s="170"/>
      <c r="M157" s="170"/>
      <c r="N157" s="170"/>
      <c r="O157" s="170"/>
      <c r="P157" s="170"/>
      <c r="Q157" s="170"/>
      <c r="R157" s="170"/>
      <c r="S157" s="170"/>
      <c r="T157" s="170"/>
      <c r="U157" s="170"/>
      <c r="V157" s="170"/>
      <c r="W157" s="170"/>
      <c r="X157" s="170"/>
      <c r="Y157" s="170"/>
      <c r="Z157" s="156"/>
    </row>
    <row r="158" ht="15.75" customHeight="1">
      <c r="A158" s="184"/>
      <c r="B158" s="184"/>
      <c r="C158" s="170"/>
      <c r="D158" s="170"/>
      <c r="E158" s="177"/>
      <c r="F158" s="170"/>
      <c r="G158" s="170"/>
      <c r="H158" s="170"/>
      <c r="I158" s="170"/>
      <c r="J158" s="170"/>
      <c r="K158" s="170"/>
      <c r="L158" s="170"/>
      <c r="M158" s="170"/>
      <c r="N158" s="170"/>
      <c r="O158" s="170"/>
      <c r="P158" s="170"/>
      <c r="Q158" s="170"/>
      <c r="R158" s="170"/>
      <c r="S158" s="170"/>
      <c r="T158" s="170"/>
      <c r="U158" s="170"/>
      <c r="V158" s="170"/>
      <c r="W158" s="170"/>
      <c r="X158" s="170"/>
      <c r="Y158" s="170"/>
      <c r="Z158" s="156"/>
    </row>
    <row r="159" ht="15.75" customHeight="1">
      <c r="A159" s="184"/>
      <c r="B159" s="184"/>
      <c r="C159" s="170"/>
      <c r="D159" s="170"/>
      <c r="E159" s="177"/>
      <c r="F159" s="170"/>
      <c r="G159" s="170"/>
      <c r="H159" s="170"/>
      <c r="I159" s="170"/>
      <c r="J159" s="170"/>
      <c r="K159" s="170"/>
      <c r="L159" s="170"/>
      <c r="M159" s="170"/>
      <c r="N159" s="170"/>
      <c r="O159" s="170"/>
      <c r="P159" s="170"/>
      <c r="Q159" s="170"/>
      <c r="R159" s="170"/>
      <c r="S159" s="170"/>
      <c r="T159" s="170"/>
      <c r="U159" s="170"/>
      <c r="V159" s="170"/>
      <c r="W159" s="170"/>
      <c r="X159" s="170"/>
      <c r="Y159" s="170"/>
      <c r="Z159" s="156"/>
    </row>
    <row r="160" ht="15.75" customHeight="1">
      <c r="A160" s="184"/>
      <c r="B160" s="184"/>
      <c r="C160" s="170"/>
      <c r="D160" s="170"/>
      <c r="E160" s="177"/>
      <c r="F160" s="170"/>
      <c r="G160" s="170"/>
      <c r="H160" s="170"/>
      <c r="I160" s="170"/>
      <c r="J160" s="170"/>
      <c r="K160" s="170"/>
      <c r="L160" s="170"/>
      <c r="M160" s="170"/>
      <c r="N160" s="170"/>
      <c r="O160" s="170"/>
      <c r="P160" s="170"/>
      <c r="Q160" s="170"/>
      <c r="R160" s="170"/>
      <c r="S160" s="170"/>
      <c r="T160" s="170"/>
      <c r="U160" s="170"/>
      <c r="V160" s="170"/>
      <c r="W160" s="170"/>
      <c r="X160" s="170"/>
      <c r="Y160" s="170"/>
      <c r="Z160" s="156"/>
    </row>
    <row r="161" ht="15.75" customHeight="1">
      <c r="A161" s="184"/>
      <c r="B161" s="184"/>
      <c r="C161" s="170"/>
      <c r="D161" s="170"/>
      <c r="E161" s="177"/>
      <c r="F161" s="170"/>
      <c r="G161" s="170"/>
      <c r="H161" s="170"/>
      <c r="I161" s="170"/>
      <c r="J161" s="170"/>
      <c r="K161" s="170"/>
      <c r="L161" s="170"/>
      <c r="M161" s="170"/>
      <c r="N161" s="170"/>
      <c r="O161" s="170"/>
      <c r="P161" s="170"/>
      <c r="Q161" s="170"/>
      <c r="R161" s="170"/>
      <c r="S161" s="170"/>
      <c r="T161" s="170"/>
      <c r="U161" s="170"/>
      <c r="V161" s="170"/>
      <c r="W161" s="170"/>
      <c r="X161" s="170"/>
      <c r="Y161" s="170"/>
      <c r="Z161" s="156"/>
    </row>
    <row r="162" ht="15.75" customHeight="1">
      <c r="A162" s="184"/>
      <c r="B162" s="184"/>
      <c r="C162" s="170"/>
      <c r="D162" s="170"/>
      <c r="E162" s="177"/>
      <c r="F162" s="170"/>
      <c r="G162" s="170"/>
      <c r="H162" s="170"/>
      <c r="I162" s="170"/>
      <c r="J162" s="170"/>
      <c r="K162" s="170"/>
      <c r="L162" s="170"/>
      <c r="M162" s="170"/>
      <c r="N162" s="170"/>
      <c r="O162" s="170"/>
      <c r="P162" s="170"/>
      <c r="Q162" s="170"/>
      <c r="R162" s="170"/>
      <c r="S162" s="170"/>
      <c r="T162" s="170"/>
      <c r="U162" s="170"/>
      <c r="V162" s="170"/>
      <c r="W162" s="170"/>
      <c r="X162" s="170"/>
      <c r="Y162" s="170"/>
      <c r="Z162" s="156"/>
    </row>
    <row r="163" ht="15.75" customHeight="1">
      <c r="A163" s="184"/>
      <c r="B163" s="184"/>
      <c r="C163" s="170"/>
      <c r="D163" s="170"/>
      <c r="E163" s="177"/>
      <c r="F163" s="170"/>
      <c r="G163" s="170"/>
      <c r="H163" s="170"/>
      <c r="I163" s="170"/>
      <c r="J163" s="170"/>
      <c r="K163" s="170"/>
      <c r="L163" s="170"/>
      <c r="M163" s="170"/>
      <c r="N163" s="170"/>
      <c r="O163" s="170"/>
      <c r="P163" s="170"/>
      <c r="Q163" s="170"/>
      <c r="R163" s="170"/>
      <c r="S163" s="170"/>
      <c r="T163" s="170"/>
      <c r="U163" s="170"/>
      <c r="V163" s="170"/>
      <c r="W163" s="170"/>
      <c r="X163" s="170"/>
      <c r="Y163" s="170"/>
      <c r="Z163" s="156"/>
    </row>
    <row r="164" ht="15.75" customHeight="1">
      <c r="A164" s="184"/>
      <c r="B164" s="184"/>
      <c r="C164" s="170"/>
      <c r="D164" s="170"/>
      <c r="E164" s="177"/>
      <c r="F164" s="170"/>
      <c r="G164" s="170"/>
      <c r="H164" s="170"/>
      <c r="I164" s="170"/>
      <c r="J164" s="170"/>
      <c r="K164" s="170"/>
      <c r="L164" s="170"/>
      <c r="M164" s="170"/>
      <c r="N164" s="170"/>
      <c r="O164" s="170"/>
      <c r="P164" s="170"/>
      <c r="Q164" s="170"/>
      <c r="R164" s="170"/>
      <c r="S164" s="170"/>
      <c r="T164" s="170"/>
      <c r="U164" s="170"/>
      <c r="V164" s="170"/>
      <c r="W164" s="170"/>
      <c r="X164" s="170"/>
      <c r="Y164" s="170"/>
      <c r="Z164" s="156"/>
    </row>
    <row r="165" ht="15.75" customHeight="1">
      <c r="A165" s="184"/>
      <c r="B165" s="184"/>
      <c r="C165" s="170"/>
      <c r="D165" s="170"/>
      <c r="E165" s="177"/>
      <c r="F165" s="170"/>
      <c r="G165" s="170"/>
      <c r="H165" s="170"/>
      <c r="I165" s="170"/>
      <c r="J165" s="170"/>
      <c r="K165" s="170"/>
      <c r="L165" s="170"/>
      <c r="M165" s="170"/>
      <c r="N165" s="170"/>
      <c r="O165" s="170"/>
      <c r="P165" s="170"/>
      <c r="Q165" s="170"/>
      <c r="R165" s="170"/>
      <c r="S165" s="170"/>
      <c r="T165" s="170"/>
      <c r="U165" s="170"/>
      <c r="V165" s="170"/>
      <c r="W165" s="170"/>
      <c r="X165" s="170"/>
      <c r="Y165" s="170"/>
      <c r="Z165" s="156"/>
    </row>
    <row r="166" ht="15.75" customHeight="1">
      <c r="A166" s="184"/>
      <c r="B166" s="184"/>
      <c r="C166" s="170"/>
      <c r="D166" s="170"/>
      <c r="E166" s="177"/>
      <c r="F166" s="170"/>
      <c r="G166" s="170"/>
      <c r="H166" s="170"/>
      <c r="I166" s="170"/>
      <c r="J166" s="170"/>
      <c r="K166" s="170"/>
      <c r="L166" s="170"/>
      <c r="M166" s="170"/>
      <c r="N166" s="170"/>
      <c r="O166" s="170"/>
      <c r="P166" s="170"/>
      <c r="Q166" s="170"/>
      <c r="R166" s="170"/>
      <c r="S166" s="170"/>
      <c r="T166" s="170"/>
      <c r="U166" s="170"/>
      <c r="V166" s="170"/>
      <c r="W166" s="170"/>
      <c r="X166" s="170"/>
      <c r="Y166" s="170"/>
      <c r="Z166" s="156"/>
    </row>
    <row r="167" ht="15.75" customHeight="1">
      <c r="A167" s="184"/>
      <c r="B167" s="184"/>
      <c r="C167" s="170"/>
      <c r="D167" s="170"/>
      <c r="E167" s="177"/>
      <c r="F167" s="170"/>
      <c r="G167" s="170"/>
      <c r="H167" s="170"/>
      <c r="I167" s="170"/>
      <c r="J167" s="170"/>
      <c r="K167" s="170"/>
      <c r="L167" s="170"/>
      <c r="M167" s="170"/>
      <c r="N167" s="170"/>
      <c r="O167" s="170"/>
      <c r="P167" s="170"/>
      <c r="Q167" s="170"/>
      <c r="R167" s="170"/>
      <c r="S167" s="170"/>
      <c r="T167" s="170"/>
      <c r="U167" s="170"/>
      <c r="V167" s="170"/>
      <c r="W167" s="170"/>
      <c r="X167" s="170"/>
      <c r="Y167" s="170"/>
      <c r="Z167" s="156"/>
    </row>
    <row r="168" ht="15.75" customHeight="1">
      <c r="A168" s="184"/>
      <c r="B168" s="184"/>
      <c r="C168" s="170"/>
      <c r="D168" s="170"/>
      <c r="E168" s="177"/>
      <c r="F168" s="170"/>
      <c r="G168" s="170"/>
      <c r="H168" s="170"/>
      <c r="I168" s="170"/>
      <c r="J168" s="170"/>
      <c r="K168" s="170"/>
      <c r="L168" s="170"/>
      <c r="M168" s="170"/>
      <c r="N168" s="170"/>
      <c r="O168" s="170"/>
      <c r="P168" s="170"/>
      <c r="Q168" s="170"/>
      <c r="R168" s="170"/>
      <c r="S168" s="170"/>
      <c r="T168" s="170"/>
      <c r="U168" s="170"/>
      <c r="V168" s="170"/>
      <c r="W168" s="170"/>
      <c r="X168" s="170"/>
      <c r="Y168" s="170"/>
      <c r="Z168" s="156"/>
    </row>
    <row r="169" ht="15.75" customHeight="1">
      <c r="A169" s="184"/>
      <c r="B169" s="184"/>
      <c r="C169" s="170"/>
      <c r="D169" s="170"/>
      <c r="E169" s="177"/>
      <c r="F169" s="170"/>
      <c r="G169" s="170"/>
      <c r="H169" s="170"/>
      <c r="I169" s="170"/>
      <c r="J169" s="170"/>
      <c r="K169" s="170"/>
      <c r="L169" s="170"/>
      <c r="M169" s="170"/>
      <c r="N169" s="170"/>
      <c r="O169" s="170"/>
      <c r="P169" s="170"/>
      <c r="Q169" s="170"/>
      <c r="R169" s="170"/>
      <c r="S169" s="170"/>
      <c r="T169" s="170"/>
      <c r="U169" s="170"/>
      <c r="V169" s="170"/>
      <c r="W169" s="170"/>
      <c r="X169" s="170"/>
      <c r="Y169" s="170"/>
      <c r="Z169" s="156"/>
    </row>
    <row r="170" ht="15.75" customHeight="1">
      <c r="A170" s="184"/>
      <c r="B170" s="184"/>
      <c r="C170" s="170"/>
      <c r="D170" s="170"/>
      <c r="E170" s="177"/>
      <c r="F170" s="170"/>
      <c r="G170" s="170"/>
      <c r="H170" s="170"/>
      <c r="I170" s="170"/>
      <c r="J170" s="170"/>
      <c r="K170" s="170"/>
      <c r="L170" s="170"/>
      <c r="M170" s="170"/>
      <c r="N170" s="170"/>
      <c r="O170" s="170"/>
      <c r="P170" s="170"/>
      <c r="Q170" s="170"/>
      <c r="R170" s="170"/>
      <c r="S170" s="170"/>
      <c r="T170" s="170"/>
      <c r="U170" s="170"/>
      <c r="V170" s="170"/>
      <c r="W170" s="170"/>
      <c r="X170" s="170"/>
      <c r="Y170" s="170"/>
      <c r="Z170" s="156"/>
    </row>
    <row r="171" ht="15.75" customHeight="1">
      <c r="A171" s="184"/>
      <c r="B171" s="184"/>
      <c r="C171" s="170"/>
      <c r="D171" s="170"/>
      <c r="E171" s="177"/>
      <c r="F171" s="170"/>
      <c r="G171" s="170"/>
      <c r="H171" s="170"/>
      <c r="I171" s="170"/>
      <c r="J171" s="170"/>
      <c r="K171" s="170"/>
      <c r="L171" s="170"/>
      <c r="M171" s="170"/>
      <c r="N171" s="170"/>
      <c r="O171" s="170"/>
      <c r="P171" s="170"/>
      <c r="Q171" s="170"/>
      <c r="R171" s="170"/>
      <c r="S171" s="170"/>
      <c r="T171" s="170"/>
      <c r="U171" s="170"/>
      <c r="V171" s="170"/>
      <c r="W171" s="170"/>
      <c r="X171" s="170"/>
      <c r="Y171" s="170"/>
      <c r="Z171" s="156"/>
    </row>
    <row r="172" ht="15.75" customHeight="1">
      <c r="A172" s="184"/>
      <c r="B172" s="184"/>
      <c r="C172" s="170"/>
      <c r="D172" s="170"/>
      <c r="E172" s="177"/>
      <c r="F172" s="170"/>
      <c r="G172" s="170"/>
      <c r="H172" s="170"/>
      <c r="I172" s="170"/>
      <c r="J172" s="170"/>
      <c r="K172" s="170"/>
      <c r="L172" s="170"/>
      <c r="M172" s="170"/>
      <c r="N172" s="170"/>
      <c r="O172" s="170"/>
      <c r="P172" s="170"/>
      <c r="Q172" s="170"/>
      <c r="R172" s="170"/>
      <c r="S172" s="170"/>
      <c r="T172" s="170"/>
      <c r="U172" s="170"/>
      <c r="V172" s="170"/>
      <c r="W172" s="170"/>
      <c r="X172" s="170"/>
      <c r="Y172" s="170"/>
      <c r="Z172" s="156"/>
    </row>
    <row r="173" ht="15.75" customHeight="1">
      <c r="A173" s="184"/>
      <c r="B173" s="184"/>
      <c r="C173" s="170"/>
      <c r="D173" s="170"/>
      <c r="E173" s="177"/>
      <c r="F173" s="170"/>
      <c r="G173" s="170"/>
      <c r="H173" s="170"/>
      <c r="I173" s="170"/>
      <c r="J173" s="170"/>
      <c r="K173" s="170"/>
      <c r="L173" s="170"/>
      <c r="M173" s="170"/>
      <c r="N173" s="170"/>
      <c r="O173" s="170"/>
      <c r="P173" s="170"/>
      <c r="Q173" s="170"/>
      <c r="R173" s="170"/>
      <c r="S173" s="170"/>
      <c r="T173" s="170"/>
      <c r="U173" s="170"/>
      <c r="V173" s="170"/>
      <c r="W173" s="170"/>
      <c r="X173" s="170"/>
      <c r="Y173" s="170"/>
      <c r="Z173" s="156"/>
    </row>
    <row r="174" ht="15.75" customHeight="1">
      <c r="A174" s="184"/>
      <c r="B174" s="184"/>
      <c r="C174" s="170"/>
      <c r="D174" s="170"/>
      <c r="E174" s="177"/>
      <c r="F174" s="170"/>
      <c r="G174" s="170"/>
      <c r="H174" s="170"/>
      <c r="I174" s="170"/>
      <c r="J174" s="170"/>
      <c r="K174" s="170"/>
      <c r="L174" s="170"/>
      <c r="M174" s="170"/>
      <c r="N174" s="170"/>
      <c r="O174" s="170"/>
      <c r="P174" s="170"/>
      <c r="Q174" s="170"/>
      <c r="R174" s="170"/>
      <c r="S174" s="170"/>
      <c r="T174" s="170"/>
      <c r="U174" s="170"/>
      <c r="V174" s="170"/>
      <c r="W174" s="170"/>
      <c r="X174" s="170"/>
      <c r="Y174" s="170"/>
      <c r="Z174" s="156"/>
    </row>
    <row r="175" ht="15.75" customHeight="1">
      <c r="A175" s="184"/>
      <c r="B175" s="184"/>
      <c r="C175" s="170"/>
      <c r="D175" s="170"/>
      <c r="E175" s="177"/>
      <c r="F175" s="170"/>
      <c r="G175" s="170"/>
      <c r="H175" s="170"/>
      <c r="I175" s="170"/>
      <c r="J175" s="170"/>
      <c r="K175" s="170"/>
      <c r="L175" s="170"/>
      <c r="M175" s="170"/>
      <c r="N175" s="170"/>
      <c r="O175" s="170"/>
      <c r="P175" s="170"/>
      <c r="Q175" s="170"/>
      <c r="R175" s="170"/>
      <c r="S175" s="170"/>
      <c r="T175" s="170"/>
      <c r="U175" s="170"/>
      <c r="V175" s="170"/>
      <c r="W175" s="170"/>
      <c r="X175" s="170"/>
      <c r="Y175" s="170"/>
      <c r="Z175" s="156"/>
    </row>
    <row r="176" ht="15.75" customHeight="1">
      <c r="A176" s="184"/>
      <c r="B176" s="184"/>
      <c r="C176" s="170"/>
      <c r="D176" s="170"/>
      <c r="E176" s="177"/>
      <c r="F176" s="170"/>
      <c r="G176" s="170"/>
      <c r="H176" s="170"/>
      <c r="I176" s="170"/>
      <c r="J176" s="170"/>
      <c r="K176" s="170"/>
      <c r="L176" s="170"/>
      <c r="M176" s="170"/>
      <c r="N176" s="170"/>
      <c r="O176" s="170"/>
      <c r="P176" s="170"/>
      <c r="Q176" s="170"/>
      <c r="R176" s="170"/>
      <c r="S176" s="170"/>
      <c r="T176" s="170"/>
      <c r="U176" s="170"/>
      <c r="V176" s="170"/>
      <c r="W176" s="170"/>
      <c r="X176" s="170"/>
      <c r="Y176" s="170"/>
      <c r="Z176" s="156"/>
    </row>
    <row r="177" ht="15.75" customHeight="1">
      <c r="A177" s="184"/>
      <c r="B177" s="184"/>
      <c r="C177" s="170"/>
      <c r="D177" s="170"/>
      <c r="E177" s="177"/>
      <c r="F177" s="170"/>
      <c r="G177" s="170"/>
      <c r="H177" s="170"/>
      <c r="I177" s="170"/>
      <c r="J177" s="170"/>
      <c r="K177" s="170"/>
      <c r="L177" s="170"/>
      <c r="M177" s="170"/>
      <c r="N177" s="170"/>
      <c r="O177" s="170"/>
      <c r="P177" s="170"/>
      <c r="Q177" s="170"/>
      <c r="R177" s="170"/>
      <c r="S177" s="170"/>
      <c r="T177" s="170"/>
      <c r="U177" s="170"/>
      <c r="V177" s="170"/>
      <c r="W177" s="170"/>
      <c r="X177" s="170"/>
      <c r="Y177" s="170"/>
      <c r="Z177" s="156"/>
    </row>
    <row r="178" ht="15.75" customHeight="1">
      <c r="A178" s="184"/>
      <c r="B178" s="184"/>
      <c r="C178" s="170"/>
      <c r="D178" s="170"/>
      <c r="E178" s="177"/>
      <c r="F178" s="170"/>
      <c r="G178" s="170"/>
      <c r="H178" s="170"/>
      <c r="I178" s="170"/>
      <c r="J178" s="170"/>
      <c r="K178" s="170"/>
      <c r="L178" s="170"/>
      <c r="M178" s="170"/>
      <c r="N178" s="170"/>
      <c r="O178" s="170"/>
      <c r="P178" s="170"/>
      <c r="Q178" s="170"/>
      <c r="R178" s="170"/>
      <c r="S178" s="170"/>
      <c r="T178" s="170"/>
      <c r="U178" s="170"/>
      <c r="V178" s="170"/>
      <c r="W178" s="170"/>
      <c r="X178" s="170"/>
      <c r="Y178" s="170"/>
      <c r="Z178" s="156"/>
    </row>
    <row r="179" ht="15.75" customHeight="1">
      <c r="A179" s="184"/>
      <c r="B179" s="184"/>
      <c r="C179" s="170"/>
      <c r="D179" s="170"/>
      <c r="E179" s="177"/>
      <c r="F179" s="170"/>
      <c r="G179" s="170"/>
      <c r="H179" s="170"/>
      <c r="I179" s="170"/>
      <c r="J179" s="170"/>
      <c r="K179" s="170"/>
      <c r="L179" s="170"/>
      <c r="M179" s="170"/>
      <c r="N179" s="170"/>
      <c r="O179" s="170"/>
      <c r="P179" s="170"/>
      <c r="Q179" s="170"/>
      <c r="R179" s="170"/>
      <c r="S179" s="170"/>
      <c r="T179" s="170"/>
      <c r="U179" s="170"/>
      <c r="V179" s="170"/>
      <c r="W179" s="170"/>
      <c r="X179" s="170"/>
      <c r="Y179" s="170"/>
      <c r="Z179" s="156"/>
    </row>
    <row r="180" ht="15.75" customHeight="1">
      <c r="A180" s="184"/>
      <c r="B180" s="184"/>
      <c r="C180" s="170"/>
      <c r="D180" s="170"/>
      <c r="E180" s="177"/>
      <c r="F180" s="170"/>
      <c r="G180" s="170"/>
      <c r="H180" s="170"/>
      <c r="I180" s="170"/>
      <c r="J180" s="170"/>
      <c r="K180" s="170"/>
      <c r="L180" s="170"/>
      <c r="M180" s="170"/>
      <c r="N180" s="170"/>
      <c r="O180" s="170"/>
      <c r="P180" s="170"/>
      <c r="Q180" s="170"/>
      <c r="R180" s="170"/>
      <c r="S180" s="170"/>
      <c r="T180" s="170"/>
      <c r="U180" s="170"/>
      <c r="V180" s="170"/>
      <c r="W180" s="170"/>
      <c r="X180" s="170"/>
      <c r="Y180" s="170"/>
      <c r="Z180" s="156"/>
    </row>
    <row r="181" ht="15.75" customHeight="1">
      <c r="A181" s="184"/>
      <c r="B181" s="184"/>
      <c r="C181" s="170"/>
      <c r="D181" s="170"/>
      <c r="E181" s="177"/>
      <c r="F181" s="170"/>
      <c r="G181" s="170"/>
      <c r="H181" s="170"/>
      <c r="I181" s="170"/>
      <c r="J181" s="170"/>
      <c r="K181" s="170"/>
      <c r="L181" s="170"/>
      <c r="M181" s="170"/>
      <c r="N181" s="170"/>
      <c r="O181" s="170"/>
      <c r="P181" s="170"/>
      <c r="Q181" s="170"/>
      <c r="R181" s="170"/>
      <c r="S181" s="170"/>
      <c r="T181" s="170"/>
      <c r="U181" s="170"/>
      <c r="V181" s="170"/>
      <c r="W181" s="170"/>
      <c r="X181" s="170"/>
      <c r="Y181" s="170"/>
      <c r="Z181" s="156"/>
    </row>
    <row r="182" ht="15.75" customHeight="1">
      <c r="A182" s="184"/>
      <c r="B182" s="184"/>
      <c r="C182" s="170"/>
      <c r="D182" s="170"/>
      <c r="E182" s="177"/>
      <c r="F182" s="170"/>
      <c r="G182" s="170"/>
      <c r="H182" s="170"/>
      <c r="I182" s="170"/>
      <c r="J182" s="170"/>
      <c r="K182" s="170"/>
      <c r="L182" s="170"/>
      <c r="M182" s="170"/>
      <c r="N182" s="170"/>
      <c r="O182" s="170"/>
      <c r="P182" s="170"/>
      <c r="Q182" s="170"/>
      <c r="R182" s="170"/>
      <c r="S182" s="170"/>
      <c r="T182" s="170"/>
      <c r="U182" s="170"/>
      <c r="V182" s="170"/>
      <c r="W182" s="170"/>
      <c r="X182" s="170"/>
      <c r="Y182" s="170"/>
      <c r="Z182" s="156"/>
    </row>
    <row r="183" ht="15.75" customHeight="1">
      <c r="A183" s="184"/>
      <c r="B183" s="184"/>
      <c r="C183" s="170"/>
      <c r="D183" s="170"/>
      <c r="E183" s="177"/>
      <c r="F183" s="170"/>
      <c r="G183" s="170"/>
      <c r="H183" s="170"/>
      <c r="I183" s="170"/>
      <c r="J183" s="170"/>
      <c r="K183" s="170"/>
      <c r="L183" s="170"/>
      <c r="M183" s="170"/>
      <c r="N183" s="170"/>
      <c r="O183" s="170"/>
      <c r="P183" s="170"/>
      <c r="Q183" s="170"/>
      <c r="R183" s="170"/>
      <c r="S183" s="170"/>
      <c r="T183" s="170"/>
      <c r="U183" s="170"/>
      <c r="V183" s="170"/>
      <c r="W183" s="170"/>
      <c r="X183" s="170"/>
      <c r="Y183" s="170"/>
      <c r="Z183" s="156"/>
    </row>
    <row r="184" ht="15.75" customHeight="1">
      <c r="A184" s="184"/>
      <c r="B184" s="184"/>
      <c r="C184" s="170"/>
      <c r="D184" s="170"/>
      <c r="E184" s="177"/>
      <c r="F184" s="170"/>
      <c r="G184" s="170"/>
      <c r="H184" s="170"/>
      <c r="I184" s="170"/>
      <c r="J184" s="170"/>
      <c r="K184" s="170"/>
      <c r="L184" s="170"/>
      <c r="M184" s="170"/>
      <c r="N184" s="170"/>
      <c r="O184" s="170"/>
      <c r="P184" s="170"/>
      <c r="Q184" s="170"/>
      <c r="R184" s="170"/>
      <c r="S184" s="170"/>
      <c r="T184" s="170"/>
      <c r="U184" s="170"/>
      <c r="V184" s="170"/>
      <c r="W184" s="170"/>
      <c r="X184" s="170"/>
      <c r="Y184" s="170"/>
      <c r="Z184" s="156"/>
    </row>
    <row r="185" ht="15.75" customHeight="1">
      <c r="A185" s="184"/>
      <c r="B185" s="184"/>
      <c r="C185" s="170"/>
      <c r="D185" s="170"/>
      <c r="E185" s="177"/>
      <c r="F185" s="170"/>
      <c r="G185" s="170"/>
      <c r="H185" s="170"/>
      <c r="I185" s="170"/>
      <c r="J185" s="170"/>
      <c r="K185" s="170"/>
      <c r="L185" s="170"/>
      <c r="M185" s="170"/>
      <c r="N185" s="170"/>
      <c r="O185" s="170"/>
      <c r="P185" s="170"/>
      <c r="Q185" s="170"/>
      <c r="R185" s="170"/>
      <c r="S185" s="170"/>
      <c r="T185" s="170"/>
      <c r="U185" s="170"/>
      <c r="V185" s="170"/>
      <c r="W185" s="170"/>
      <c r="X185" s="170"/>
      <c r="Y185" s="170"/>
      <c r="Z185" s="156"/>
    </row>
    <row r="186" ht="15.75" customHeight="1">
      <c r="A186" s="184"/>
      <c r="B186" s="184"/>
      <c r="C186" s="170"/>
      <c r="D186" s="170"/>
      <c r="E186" s="177"/>
      <c r="F186" s="170"/>
      <c r="G186" s="170"/>
      <c r="H186" s="170"/>
      <c r="I186" s="170"/>
      <c r="J186" s="170"/>
      <c r="K186" s="170"/>
      <c r="L186" s="170"/>
      <c r="M186" s="170"/>
      <c r="N186" s="170"/>
      <c r="O186" s="170"/>
      <c r="P186" s="170"/>
      <c r="Q186" s="170"/>
      <c r="R186" s="170"/>
      <c r="S186" s="170"/>
      <c r="T186" s="170"/>
      <c r="U186" s="170"/>
      <c r="V186" s="170"/>
      <c r="W186" s="170"/>
      <c r="X186" s="170"/>
      <c r="Y186" s="170"/>
      <c r="Z186" s="156"/>
    </row>
    <row r="187" ht="15.75" customHeight="1">
      <c r="A187" s="184"/>
      <c r="B187" s="184"/>
      <c r="C187" s="170"/>
      <c r="D187" s="170"/>
      <c r="E187" s="177"/>
      <c r="F187" s="170"/>
      <c r="G187" s="170"/>
      <c r="H187" s="170"/>
      <c r="I187" s="170"/>
      <c r="J187" s="170"/>
      <c r="K187" s="170"/>
      <c r="L187" s="170"/>
      <c r="M187" s="170"/>
      <c r="N187" s="170"/>
      <c r="O187" s="170"/>
      <c r="P187" s="170"/>
      <c r="Q187" s="170"/>
      <c r="R187" s="170"/>
      <c r="S187" s="170"/>
      <c r="T187" s="170"/>
      <c r="U187" s="170"/>
      <c r="V187" s="170"/>
      <c r="W187" s="170"/>
      <c r="X187" s="170"/>
      <c r="Y187" s="170"/>
      <c r="Z187" s="156"/>
    </row>
    <row r="188" ht="15.75" customHeight="1">
      <c r="A188" s="184"/>
      <c r="B188" s="184"/>
      <c r="C188" s="170"/>
      <c r="D188" s="170"/>
      <c r="E188" s="177"/>
      <c r="F188" s="170"/>
      <c r="G188" s="170"/>
      <c r="H188" s="170"/>
      <c r="I188" s="170"/>
      <c r="J188" s="170"/>
      <c r="K188" s="170"/>
      <c r="L188" s="170"/>
      <c r="M188" s="170"/>
      <c r="N188" s="170"/>
      <c r="O188" s="170"/>
      <c r="P188" s="170"/>
      <c r="Q188" s="170"/>
      <c r="R188" s="170"/>
      <c r="S188" s="170"/>
      <c r="T188" s="170"/>
      <c r="U188" s="170"/>
      <c r="V188" s="170"/>
      <c r="W188" s="170"/>
      <c r="X188" s="170"/>
      <c r="Y188" s="170"/>
      <c r="Z188" s="156"/>
    </row>
    <row r="189" ht="15.75" customHeight="1">
      <c r="A189" s="184"/>
      <c r="B189" s="184"/>
      <c r="C189" s="170"/>
      <c r="D189" s="170"/>
      <c r="E189" s="177"/>
      <c r="F189" s="170"/>
      <c r="G189" s="170"/>
      <c r="H189" s="170"/>
      <c r="I189" s="170"/>
      <c r="J189" s="170"/>
      <c r="K189" s="170"/>
      <c r="L189" s="170"/>
      <c r="M189" s="170"/>
      <c r="N189" s="170"/>
      <c r="O189" s="170"/>
      <c r="P189" s="170"/>
      <c r="Q189" s="170"/>
      <c r="R189" s="170"/>
      <c r="S189" s="170"/>
      <c r="T189" s="170"/>
      <c r="U189" s="170"/>
      <c r="V189" s="170"/>
      <c r="W189" s="170"/>
      <c r="X189" s="170"/>
      <c r="Y189" s="170"/>
      <c r="Z189" s="156"/>
    </row>
    <row r="190" ht="15.75" customHeight="1">
      <c r="A190" s="184"/>
      <c r="B190" s="184"/>
      <c r="C190" s="170"/>
      <c r="D190" s="170"/>
      <c r="E190" s="177"/>
      <c r="F190" s="170"/>
      <c r="G190" s="170"/>
      <c r="H190" s="170"/>
      <c r="I190" s="170"/>
      <c r="J190" s="170"/>
      <c r="K190" s="170"/>
      <c r="L190" s="170"/>
      <c r="M190" s="170"/>
      <c r="N190" s="170"/>
      <c r="O190" s="170"/>
      <c r="P190" s="170"/>
      <c r="Q190" s="170"/>
      <c r="R190" s="170"/>
      <c r="S190" s="170"/>
      <c r="T190" s="170"/>
      <c r="U190" s="170"/>
      <c r="V190" s="170"/>
      <c r="W190" s="170"/>
      <c r="X190" s="170"/>
      <c r="Y190" s="170"/>
      <c r="Z190" s="156"/>
    </row>
    <row r="191" ht="15.75" customHeight="1">
      <c r="A191" s="184"/>
      <c r="B191" s="184"/>
      <c r="C191" s="170"/>
      <c r="D191" s="170"/>
      <c r="E191" s="177"/>
      <c r="F191" s="170"/>
      <c r="G191" s="170"/>
      <c r="H191" s="170"/>
      <c r="I191" s="170"/>
      <c r="J191" s="170"/>
      <c r="K191" s="170"/>
      <c r="L191" s="170"/>
      <c r="M191" s="170"/>
      <c r="N191" s="170"/>
      <c r="O191" s="170"/>
      <c r="P191" s="170"/>
      <c r="Q191" s="170"/>
      <c r="R191" s="170"/>
      <c r="S191" s="170"/>
      <c r="T191" s="170"/>
      <c r="U191" s="170"/>
      <c r="V191" s="170"/>
      <c r="W191" s="170"/>
      <c r="X191" s="170"/>
      <c r="Y191" s="170"/>
      <c r="Z191" s="156"/>
    </row>
    <row r="192" ht="15.75" customHeight="1">
      <c r="A192" s="184"/>
      <c r="B192" s="184"/>
      <c r="C192" s="170"/>
      <c r="D192" s="170"/>
      <c r="E192" s="177"/>
      <c r="F192" s="170"/>
      <c r="G192" s="170"/>
      <c r="H192" s="170"/>
      <c r="I192" s="170"/>
      <c r="J192" s="170"/>
      <c r="K192" s="170"/>
      <c r="L192" s="170"/>
      <c r="M192" s="170"/>
      <c r="N192" s="170"/>
      <c r="O192" s="170"/>
      <c r="P192" s="170"/>
      <c r="Q192" s="170"/>
      <c r="R192" s="170"/>
      <c r="S192" s="170"/>
      <c r="T192" s="170"/>
      <c r="U192" s="170"/>
      <c r="V192" s="170"/>
      <c r="W192" s="170"/>
      <c r="X192" s="170"/>
      <c r="Y192" s="170"/>
      <c r="Z192" s="156"/>
    </row>
    <row r="193" ht="15.75" customHeight="1">
      <c r="A193" s="184"/>
      <c r="B193" s="184"/>
      <c r="C193" s="170"/>
      <c r="D193" s="170"/>
      <c r="E193" s="177"/>
      <c r="F193" s="170"/>
      <c r="G193" s="170"/>
      <c r="H193" s="170"/>
      <c r="I193" s="170"/>
      <c r="J193" s="170"/>
      <c r="K193" s="170"/>
      <c r="L193" s="170"/>
      <c r="M193" s="170"/>
      <c r="N193" s="170"/>
      <c r="O193" s="170"/>
      <c r="P193" s="170"/>
      <c r="Q193" s="170"/>
      <c r="R193" s="170"/>
      <c r="S193" s="170"/>
      <c r="T193" s="170"/>
      <c r="U193" s="170"/>
      <c r="V193" s="170"/>
      <c r="W193" s="170"/>
      <c r="X193" s="170"/>
      <c r="Y193" s="170"/>
      <c r="Z193" s="156"/>
    </row>
    <row r="194" ht="15.75" customHeight="1">
      <c r="A194" s="184"/>
      <c r="B194" s="184"/>
      <c r="C194" s="170"/>
      <c r="D194" s="170"/>
      <c r="E194" s="177"/>
      <c r="F194" s="170"/>
      <c r="G194" s="170"/>
      <c r="H194" s="170"/>
      <c r="I194" s="170"/>
      <c r="J194" s="170"/>
      <c r="K194" s="170"/>
      <c r="L194" s="170"/>
      <c r="M194" s="170"/>
      <c r="N194" s="170"/>
      <c r="O194" s="170"/>
      <c r="P194" s="170"/>
      <c r="Q194" s="170"/>
      <c r="R194" s="170"/>
      <c r="S194" s="170"/>
      <c r="T194" s="170"/>
      <c r="U194" s="170"/>
      <c r="V194" s="170"/>
      <c r="W194" s="170"/>
      <c r="X194" s="170"/>
      <c r="Y194" s="170"/>
      <c r="Z194" s="156"/>
    </row>
    <row r="195" ht="15.75" customHeight="1">
      <c r="A195" s="184"/>
      <c r="B195" s="184"/>
      <c r="C195" s="170"/>
      <c r="D195" s="170"/>
      <c r="E195" s="177"/>
      <c r="F195" s="170"/>
      <c r="G195" s="170"/>
      <c r="H195" s="170"/>
      <c r="I195" s="170"/>
      <c r="J195" s="170"/>
      <c r="K195" s="170"/>
      <c r="L195" s="170"/>
      <c r="M195" s="170"/>
      <c r="N195" s="170"/>
      <c r="O195" s="170"/>
      <c r="P195" s="170"/>
      <c r="Q195" s="170"/>
      <c r="R195" s="170"/>
      <c r="S195" s="170"/>
      <c r="T195" s="170"/>
      <c r="U195" s="170"/>
      <c r="V195" s="170"/>
      <c r="W195" s="170"/>
      <c r="X195" s="170"/>
      <c r="Y195" s="170"/>
      <c r="Z195" s="156"/>
    </row>
    <row r="196" ht="15.75" customHeight="1">
      <c r="A196" s="184"/>
      <c r="B196" s="184"/>
      <c r="C196" s="170"/>
      <c r="D196" s="170"/>
      <c r="E196" s="177"/>
      <c r="F196" s="170"/>
      <c r="G196" s="170"/>
      <c r="H196" s="170"/>
      <c r="I196" s="170"/>
      <c r="J196" s="170"/>
      <c r="K196" s="170"/>
      <c r="L196" s="170"/>
      <c r="M196" s="170"/>
      <c r="N196" s="170"/>
      <c r="O196" s="170"/>
      <c r="P196" s="170"/>
      <c r="Q196" s="170"/>
      <c r="R196" s="170"/>
      <c r="S196" s="170"/>
      <c r="T196" s="170"/>
      <c r="U196" s="170"/>
      <c r="V196" s="170"/>
      <c r="W196" s="170"/>
      <c r="X196" s="170"/>
      <c r="Y196" s="170"/>
      <c r="Z196" s="156"/>
    </row>
    <row r="197" ht="15.75" customHeight="1">
      <c r="A197" s="184"/>
      <c r="B197" s="184"/>
      <c r="C197" s="170"/>
      <c r="D197" s="170"/>
      <c r="E197" s="177"/>
      <c r="F197" s="170"/>
      <c r="G197" s="170"/>
      <c r="H197" s="170"/>
      <c r="I197" s="170"/>
      <c r="J197" s="170"/>
      <c r="K197" s="170"/>
      <c r="L197" s="170"/>
      <c r="M197" s="170"/>
      <c r="N197" s="170"/>
      <c r="O197" s="170"/>
      <c r="P197" s="170"/>
      <c r="Q197" s="170"/>
      <c r="R197" s="170"/>
      <c r="S197" s="170"/>
      <c r="T197" s="170"/>
      <c r="U197" s="170"/>
      <c r="V197" s="170"/>
      <c r="W197" s="170"/>
      <c r="X197" s="170"/>
      <c r="Y197" s="170"/>
      <c r="Z197" s="156"/>
    </row>
    <row r="198" ht="15.75" customHeight="1">
      <c r="A198" s="184"/>
      <c r="B198" s="184"/>
      <c r="C198" s="170"/>
      <c r="D198" s="170"/>
      <c r="E198" s="177"/>
      <c r="F198" s="170"/>
      <c r="G198" s="170"/>
      <c r="H198" s="170"/>
      <c r="I198" s="170"/>
      <c r="J198" s="170"/>
      <c r="K198" s="170"/>
      <c r="L198" s="170"/>
      <c r="M198" s="170"/>
      <c r="N198" s="170"/>
      <c r="O198" s="170"/>
      <c r="P198" s="170"/>
      <c r="Q198" s="170"/>
      <c r="R198" s="170"/>
      <c r="S198" s="170"/>
      <c r="T198" s="170"/>
      <c r="U198" s="170"/>
      <c r="V198" s="170"/>
      <c r="W198" s="170"/>
      <c r="X198" s="170"/>
      <c r="Y198" s="170"/>
      <c r="Z198" s="156"/>
    </row>
    <row r="199" ht="15.75" customHeight="1">
      <c r="A199" s="184"/>
      <c r="B199" s="184"/>
      <c r="C199" s="170"/>
      <c r="D199" s="170"/>
      <c r="E199" s="177"/>
      <c r="F199" s="170"/>
      <c r="G199" s="170"/>
      <c r="H199" s="170"/>
      <c r="I199" s="170"/>
      <c r="J199" s="170"/>
      <c r="K199" s="170"/>
      <c r="L199" s="170"/>
      <c r="M199" s="170"/>
      <c r="N199" s="170"/>
      <c r="O199" s="170"/>
      <c r="P199" s="170"/>
      <c r="Q199" s="170"/>
      <c r="R199" s="170"/>
      <c r="S199" s="170"/>
      <c r="T199" s="170"/>
      <c r="U199" s="170"/>
      <c r="V199" s="170"/>
      <c r="W199" s="170"/>
      <c r="X199" s="170"/>
      <c r="Y199" s="170"/>
      <c r="Z199" s="156"/>
    </row>
    <row r="200" ht="15.75" customHeight="1">
      <c r="A200" s="184"/>
      <c r="B200" s="184"/>
      <c r="C200" s="170"/>
      <c r="D200" s="170"/>
      <c r="E200" s="177"/>
      <c r="F200" s="170"/>
      <c r="G200" s="170"/>
      <c r="H200" s="170"/>
      <c r="I200" s="170"/>
      <c r="J200" s="170"/>
      <c r="K200" s="170"/>
      <c r="L200" s="170"/>
      <c r="M200" s="170"/>
      <c r="N200" s="170"/>
      <c r="O200" s="170"/>
      <c r="P200" s="170"/>
      <c r="Q200" s="170"/>
      <c r="R200" s="170"/>
      <c r="S200" s="170"/>
      <c r="T200" s="170"/>
      <c r="U200" s="170"/>
      <c r="V200" s="170"/>
      <c r="W200" s="170"/>
      <c r="X200" s="170"/>
      <c r="Y200" s="170"/>
      <c r="Z200" s="156"/>
    </row>
    <row r="201" ht="15.75" customHeight="1">
      <c r="A201" s="184"/>
      <c r="B201" s="184"/>
      <c r="C201" s="170"/>
      <c r="D201" s="170"/>
      <c r="E201" s="177"/>
      <c r="F201" s="170"/>
      <c r="G201" s="170"/>
      <c r="H201" s="170"/>
      <c r="I201" s="170"/>
      <c r="J201" s="170"/>
      <c r="K201" s="170"/>
      <c r="L201" s="170"/>
      <c r="M201" s="170"/>
      <c r="N201" s="170"/>
      <c r="O201" s="170"/>
      <c r="P201" s="170"/>
      <c r="Q201" s="170"/>
      <c r="R201" s="170"/>
      <c r="S201" s="170"/>
      <c r="T201" s="170"/>
      <c r="U201" s="170"/>
      <c r="V201" s="170"/>
      <c r="W201" s="170"/>
      <c r="X201" s="170"/>
      <c r="Y201" s="170"/>
      <c r="Z201" s="156"/>
    </row>
    <row r="202" ht="15.75" customHeight="1">
      <c r="A202" s="184"/>
      <c r="B202" s="184"/>
      <c r="C202" s="170"/>
      <c r="D202" s="170"/>
      <c r="E202" s="177"/>
      <c r="F202" s="170"/>
      <c r="G202" s="170"/>
      <c r="H202" s="170"/>
      <c r="I202" s="170"/>
      <c r="J202" s="170"/>
      <c r="K202" s="170"/>
      <c r="L202" s="170"/>
      <c r="M202" s="170"/>
      <c r="N202" s="170"/>
      <c r="O202" s="170"/>
      <c r="P202" s="170"/>
      <c r="Q202" s="170"/>
      <c r="R202" s="170"/>
      <c r="S202" s="170"/>
      <c r="T202" s="170"/>
      <c r="U202" s="170"/>
      <c r="V202" s="170"/>
      <c r="W202" s="170"/>
      <c r="X202" s="170"/>
      <c r="Y202" s="170"/>
      <c r="Z202" s="156"/>
    </row>
    <row r="203" ht="15.75" customHeight="1">
      <c r="A203" s="184"/>
      <c r="B203" s="184"/>
      <c r="C203" s="170"/>
      <c r="D203" s="170"/>
      <c r="E203" s="177"/>
      <c r="F203" s="170"/>
      <c r="G203" s="170"/>
      <c r="H203" s="170"/>
      <c r="I203" s="170"/>
      <c r="J203" s="170"/>
      <c r="K203" s="170"/>
      <c r="L203" s="170"/>
      <c r="M203" s="170"/>
      <c r="N203" s="170"/>
      <c r="O203" s="170"/>
      <c r="P203" s="170"/>
      <c r="Q203" s="170"/>
      <c r="R203" s="170"/>
      <c r="S203" s="170"/>
      <c r="T203" s="170"/>
      <c r="U203" s="170"/>
      <c r="V203" s="170"/>
      <c r="W203" s="170"/>
      <c r="X203" s="170"/>
      <c r="Y203" s="170"/>
      <c r="Z203" s="156"/>
    </row>
    <row r="204" ht="15.75" customHeight="1">
      <c r="A204" s="184"/>
      <c r="B204" s="184"/>
      <c r="C204" s="170"/>
      <c r="D204" s="170"/>
      <c r="E204" s="177"/>
      <c r="F204" s="170"/>
      <c r="G204" s="170"/>
      <c r="H204" s="170"/>
      <c r="I204" s="170"/>
      <c r="J204" s="170"/>
      <c r="K204" s="170"/>
      <c r="L204" s="170"/>
      <c r="M204" s="170"/>
      <c r="N204" s="170"/>
      <c r="O204" s="170"/>
      <c r="P204" s="170"/>
      <c r="Q204" s="170"/>
      <c r="R204" s="170"/>
      <c r="S204" s="170"/>
      <c r="T204" s="170"/>
      <c r="U204" s="170"/>
      <c r="V204" s="170"/>
      <c r="W204" s="170"/>
      <c r="X204" s="170"/>
      <c r="Y204" s="170"/>
      <c r="Z204" s="156"/>
    </row>
    <row r="205" ht="15.75" customHeight="1">
      <c r="A205" s="184"/>
      <c r="B205" s="184"/>
      <c r="C205" s="170"/>
      <c r="D205" s="170"/>
      <c r="E205" s="177"/>
      <c r="F205" s="170"/>
      <c r="G205" s="170"/>
      <c r="H205" s="170"/>
      <c r="I205" s="170"/>
      <c r="J205" s="170"/>
      <c r="K205" s="170"/>
      <c r="L205" s="170"/>
      <c r="M205" s="170"/>
      <c r="N205" s="170"/>
      <c r="O205" s="170"/>
      <c r="P205" s="170"/>
      <c r="Q205" s="170"/>
      <c r="R205" s="170"/>
      <c r="S205" s="170"/>
      <c r="T205" s="170"/>
      <c r="U205" s="170"/>
      <c r="V205" s="170"/>
      <c r="W205" s="170"/>
      <c r="X205" s="170"/>
      <c r="Y205" s="170"/>
      <c r="Z205" s="156"/>
    </row>
    <row r="206" ht="15.75" customHeight="1">
      <c r="A206" s="184"/>
      <c r="B206" s="184"/>
      <c r="C206" s="170"/>
      <c r="D206" s="170"/>
      <c r="E206" s="177"/>
      <c r="F206" s="170"/>
      <c r="G206" s="170"/>
      <c r="H206" s="170"/>
      <c r="I206" s="170"/>
      <c r="J206" s="170"/>
      <c r="K206" s="170"/>
      <c r="L206" s="170"/>
      <c r="M206" s="170"/>
      <c r="N206" s="170"/>
      <c r="O206" s="170"/>
      <c r="P206" s="170"/>
      <c r="Q206" s="170"/>
      <c r="R206" s="170"/>
      <c r="S206" s="170"/>
      <c r="T206" s="170"/>
      <c r="U206" s="170"/>
      <c r="V206" s="170"/>
      <c r="W206" s="170"/>
      <c r="X206" s="170"/>
      <c r="Y206" s="170"/>
      <c r="Z206" s="156"/>
    </row>
    <row r="207" ht="15.75" customHeight="1">
      <c r="A207" s="184"/>
      <c r="B207" s="184"/>
      <c r="C207" s="170"/>
      <c r="D207" s="170"/>
      <c r="E207" s="177"/>
      <c r="F207" s="170"/>
      <c r="G207" s="170"/>
      <c r="H207" s="170"/>
      <c r="I207" s="170"/>
      <c r="J207" s="170"/>
      <c r="K207" s="170"/>
      <c r="L207" s="170"/>
      <c r="M207" s="170"/>
      <c r="N207" s="170"/>
      <c r="O207" s="170"/>
      <c r="P207" s="170"/>
      <c r="Q207" s="170"/>
      <c r="R207" s="170"/>
      <c r="S207" s="170"/>
      <c r="T207" s="170"/>
      <c r="U207" s="170"/>
      <c r="V207" s="170"/>
      <c r="W207" s="170"/>
      <c r="X207" s="170"/>
      <c r="Y207" s="170"/>
      <c r="Z207" s="156"/>
    </row>
    <row r="208" ht="15.75" customHeight="1">
      <c r="A208" s="184"/>
      <c r="B208" s="184"/>
      <c r="C208" s="170"/>
      <c r="D208" s="170"/>
      <c r="E208" s="177"/>
      <c r="F208" s="170"/>
      <c r="G208" s="170"/>
      <c r="H208" s="170"/>
      <c r="I208" s="170"/>
      <c r="J208" s="170"/>
      <c r="K208" s="170"/>
      <c r="L208" s="170"/>
      <c r="M208" s="170"/>
      <c r="N208" s="170"/>
      <c r="O208" s="170"/>
      <c r="P208" s="170"/>
      <c r="Q208" s="170"/>
      <c r="R208" s="170"/>
      <c r="S208" s="170"/>
      <c r="T208" s="170"/>
      <c r="U208" s="170"/>
      <c r="V208" s="170"/>
      <c r="W208" s="170"/>
      <c r="X208" s="170"/>
      <c r="Y208" s="170"/>
      <c r="Z208" s="156"/>
    </row>
    <row r="209" ht="15.75" customHeight="1">
      <c r="A209" s="184"/>
      <c r="B209" s="184"/>
      <c r="C209" s="170"/>
      <c r="D209" s="170"/>
      <c r="E209" s="177"/>
      <c r="F209" s="170"/>
      <c r="G209" s="170"/>
      <c r="H209" s="170"/>
      <c r="I209" s="170"/>
      <c r="J209" s="170"/>
      <c r="K209" s="170"/>
      <c r="L209" s="170"/>
      <c r="M209" s="170"/>
      <c r="N209" s="170"/>
      <c r="O209" s="170"/>
      <c r="P209" s="170"/>
      <c r="Q209" s="170"/>
      <c r="R209" s="170"/>
      <c r="S209" s="170"/>
      <c r="T209" s="170"/>
      <c r="U209" s="170"/>
      <c r="V209" s="170"/>
      <c r="W209" s="170"/>
      <c r="X209" s="170"/>
      <c r="Y209" s="170"/>
      <c r="Z209" s="156"/>
    </row>
    <row r="210" ht="15.75" customHeight="1">
      <c r="A210" s="184"/>
      <c r="B210" s="184"/>
      <c r="C210" s="170"/>
      <c r="D210" s="170"/>
      <c r="E210" s="177"/>
      <c r="F210" s="170"/>
      <c r="G210" s="170"/>
      <c r="H210" s="170"/>
      <c r="I210" s="170"/>
      <c r="J210" s="170"/>
      <c r="K210" s="170"/>
      <c r="L210" s="170"/>
      <c r="M210" s="170"/>
      <c r="N210" s="170"/>
      <c r="O210" s="170"/>
      <c r="P210" s="170"/>
      <c r="Q210" s="170"/>
      <c r="R210" s="170"/>
      <c r="S210" s="170"/>
      <c r="T210" s="170"/>
      <c r="U210" s="170"/>
      <c r="V210" s="170"/>
      <c r="W210" s="170"/>
      <c r="X210" s="170"/>
      <c r="Y210" s="170"/>
      <c r="Z210" s="156"/>
    </row>
    <row r="211" ht="15.75" customHeight="1">
      <c r="A211" s="184"/>
      <c r="B211" s="184"/>
      <c r="C211" s="170"/>
      <c r="D211" s="170"/>
      <c r="E211" s="177"/>
      <c r="F211" s="170"/>
      <c r="G211" s="170"/>
      <c r="H211" s="170"/>
      <c r="I211" s="170"/>
      <c r="J211" s="170"/>
      <c r="K211" s="170"/>
      <c r="L211" s="170"/>
      <c r="M211" s="170"/>
      <c r="N211" s="170"/>
      <c r="O211" s="170"/>
      <c r="P211" s="170"/>
      <c r="Q211" s="170"/>
      <c r="R211" s="170"/>
      <c r="S211" s="170"/>
      <c r="T211" s="170"/>
      <c r="U211" s="170"/>
      <c r="V211" s="170"/>
      <c r="W211" s="170"/>
      <c r="X211" s="170"/>
      <c r="Y211" s="170"/>
      <c r="Z211" s="156"/>
    </row>
    <row r="212" ht="15.75" customHeight="1">
      <c r="A212" s="184"/>
      <c r="B212" s="184"/>
      <c r="C212" s="170"/>
      <c r="D212" s="170"/>
      <c r="E212" s="177"/>
      <c r="F212" s="170"/>
      <c r="G212" s="170"/>
      <c r="H212" s="170"/>
      <c r="I212" s="170"/>
      <c r="J212" s="170"/>
      <c r="K212" s="170"/>
      <c r="L212" s="170"/>
      <c r="M212" s="170"/>
      <c r="N212" s="170"/>
      <c r="O212" s="170"/>
      <c r="P212" s="170"/>
      <c r="Q212" s="170"/>
      <c r="R212" s="170"/>
      <c r="S212" s="170"/>
      <c r="T212" s="170"/>
      <c r="U212" s="170"/>
      <c r="V212" s="170"/>
      <c r="W212" s="170"/>
      <c r="X212" s="170"/>
      <c r="Y212" s="170"/>
      <c r="Z212" s="156"/>
    </row>
    <row r="213" ht="15.75" customHeight="1">
      <c r="A213" s="184"/>
      <c r="B213" s="184"/>
      <c r="C213" s="170"/>
      <c r="D213" s="170"/>
      <c r="E213" s="177"/>
      <c r="F213" s="170"/>
      <c r="G213" s="170"/>
      <c r="H213" s="170"/>
      <c r="I213" s="170"/>
      <c r="J213" s="170"/>
      <c r="K213" s="170"/>
      <c r="L213" s="170"/>
      <c r="M213" s="170"/>
      <c r="N213" s="170"/>
      <c r="O213" s="170"/>
      <c r="P213" s="170"/>
      <c r="Q213" s="170"/>
      <c r="R213" s="170"/>
      <c r="S213" s="170"/>
      <c r="T213" s="170"/>
      <c r="U213" s="170"/>
      <c r="V213" s="170"/>
      <c r="W213" s="170"/>
      <c r="X213" s="170"/>
      <c r="Y213" s="170"/>
      <c r="Z213" s="156"/>
    </row>
    <row r="214" ht="15.75" customHeight="1">
      <c r="A214" s="184"/>
      <c r="B214" s="184"/>
      <c r="C214" s="170"/>
      <c r="D214" s="170"/>
      <c r="E214" s="177"/>
      <c r="F214" s="170"/>
      <c r="G214" s="170"/>
      <c r="H214" s="170"/>
      <c r="I214" s="170"/>
      <c r="J214" s="170"/>
      <c r="K214" s="170"/>
      <c r="L214" s="170"/>
      <c r="M214" s="170"/>
      <c r="N214" s="170"/>
      <c r="O214" s="170"/>
      <c r="P214" s="170"/>
      <c r="Q214" s="170"/>
      <c r="R214" s="170"/>
      <c r="S214" s="170"/>
      <c r="T214" s="170"/>
      <c r="U214" s="170"/>
      <c r="V214" s="170"/>
      <c r="W214" s="170"/>
      <c r="X214" s="170"/>
      <c r="Y214" s="170"/>
      <c r="Z214" s="156"/>
    </row>
    <row r="215" ht="15.75" customHeight="1">
      <c r="A215" s="184"/>
      <c r="B215" s="184"/>
      <c r="C215" s="170"/>
      <c r="D215" s="170"/>
      <c r="E215" s="177"/>
      <c r="F215" s="170"/>
      <c r="G215" s="170"/>
      <c r="H215" s="170"/>
      <c r="I215" s="170"/>
      <c r="J215" s="170"/>
      <c r="K215" s="170"/>
      <c r="L215" s="170"/>
      <c r="M215" s="170"/>
      <c r="N215" s="170"/>
      <c r="O215" s="170"/>
      <c r="P215" s="170"/>
      <c r="Q215" s="170"/>
      <c r="R215" s="170"/>
      <c r="S215" s="170"/>
      <c r="T215" s="170"/>
      <c r="U215" s="170"/>
      <c r="V215" s="170"/>
      <c r="W215" s="170"/>
      <c r="X215" s="170"/>
      <c r="Y215" s="170"/>
      <c r="Z215" s="156"/>
    </row>
    <row r="216" ht="15.75" customHeight="1">
      <c r="A216" s="184"/>
      <c r="B216" s="184"/>
      <c r="C216" s="170"/>
      <c r="D216" s="170"/>
      <c r="E216" s="177"/>
      <c r="F216" s="170"/>
      <c r="G216" s="170"/>
      <c r="H216" s="170"/>
      <c r="I216" s="170"/>
      <c r="J216" s="170"/>
      <c r="K216" s="170"/>
      <c r="L216" s="170"/>
      <c r="M216" s="170"/>
      <c r="N216" s="170"/>
      <c r="O216" s="170"/>
      <c r="P216" s="170"/>
      <c r="Q216" s="170"/>
      <c r="R216" s="170"/>
      <c r="S216" s="170"/>
      <c r="T216" s="170"/>
      <c r="U216" s="170"/>
      <c r="V216" s="170"/>
      <c r="W216" s="170"/>
      <c r="X216" s="170"/>
      <c r="Y216" s="170"/>
      <c r="Z216" s="156"/>
    </row>
    <row r="217" ht="15.75" customHeight="1">
      <c r="A217" s="184"/>
      <c r="B217" s="184"/>
      <c r="C217" s="170"/>
      <c r="D217" s="170"/>
      <c r="E217" s="177"/>
      <c r="F217" s="170"/>
      <c r="G217" s="170"/>
      <c r="H217" s="170"/>
      <c r="I217" s="170"/>
      <c r="J217" s="170"/>
      <c r="K217" s="170"/>
      <c r="L217" s="170"/>
      <c r="M217" s="170"/>
      <c r="N217" s="170"/>
      <c r="O217" s="170"/>
      <c r="P217" s="170"/>
      <c r="Q217" s="170"/>
      <c r="R217" s="170"/>
      <c r="S217" s="170"/>
      <c r="T217" s="170"/>
      <c r="U217" s="170"/>
      <c r="V217" s="170"/>
      <c r="W217" s="170"/>
      <c r="X217" s="170"/>
      <c r="Y217" s="170"/>
      <c r="Z217" s="156"/>
    </row>
    <row r="218" ht="15.75" customHeight="1">
      <c r="A218" s="184"/>
      <c r="B218" s="184"/>
      <c r="C218" s="170"/>
      <c r="D218" s="170"/>
      <c r="E218" s="177"/>
      <c r="F218" s="170"/>
      <c r="G218" s="170"/>
      <c r="H218" s="170"/>
      <c r="I218" s="170"/>
      <c r="J218" s="170"/>
      <c r="K218" s="170"/>
      <c r="L218" s="170"/>
      <c r="M218" s="170"/>
      <c r="N218" s="170"/>
      <c r="O218" s="170"/>
      <c r="P218" s="170"/>
      <c r="Q218" s="170"/>
      <c r="R218" s="170"/>
      <c r="S218" s="170"/>
      <c r="T218" s="170"/>
      <c r="U218" s="170"/>
      <c r="V218" s="170"/>
      <c r="W218" s="170"/>
      <c r="X218" s="170"/>
      <c r="Y218" s="170"/>
      <c r="Z218" s="156"/>
    </row>
    <row r="219" ht="15.75" customHeight="1">
      <c r="A219" s="184"/>
      <c r="B219" s="184"/>
      <c r="C219" s="170"/>
      <c r="D219" s="170"/>
      <c r="E219" s="177"/>
      <c r="F219" s="170"/>
      <c r="G219" s="170"/>
      <c r="H219" s="170"/>
      <c r="I219" s="170"/>
      <c r="J219" s="170"/>
      <c r="K219" s="170"/>
      <c r="L219" s="170"/>
      <c r="M219" s="170"/>
      <c r="N219" s="170"/>
      <c r="O219" s="170"/>
      <c r="P219" s="170"/>
      <c r="Q219" s="170"/>
      <c r="R219" s="170"/>
      <c r="S219" s="170"/>
      <c r="T219" s="170"/>
      <c r="U219" s="170"/>
      <c r="V219" s="170"/>
      <c r="W219" s="170"/>
      <c r="X219" s="170"/>
      <c r="Y219" s="170"/>
      <c r="Z219" s="156"/>
    </row>
    <row r="220" ht="15.75" customHeight="1">
      <c r="A220" s="184"/>
      <c r="B220" s="184"/>
      <c r="C220" s="170"/>
      <c r="D220" s="170"/>
      <c r="E220" s="177"/>
      <c r="F220" s="170"/>
      <c r="G220" s="170"/>
      <c r="H220" s="170"/>
      <c r="I220" s="170"/>
      <c r="J220" s="170"/>
      <c r="K220" s="170"/>
      <c r="L220" s="170"/>
      <c r="M220" s="170"/>
      <c r="N220" s="170"/>
      <c r="O220" s="170"/>
      <c r="P220" s="170"/>
      <c r="Q220" s="170"/>
      <c r="R220" s="170"/>
      <c r="S220" s="170"/>
      <c r="T220" s="170"/>
      <c r="U220" s="170"/>
      <c r="V220" s="170"/>
      <c r="W220" s="170"/>
      <c r="X220" s="170"/>
      <c r="Y220" s="170"/>
      <c r="Z220" s="156"/>
    </row>
    <row r="221" ht="15.75" customHeight="1">
      <c r="A221" s="184"/>
      <c r="B221" s="184"/>
      <c r="C221" s="170"/>
      <c r="D221" s="170"/>
      <c r="E221" s="177"/>
      <c r="F221" s="170"/>
      <c r="G221" s="170"/>
      <c r="H221" s="170"/>
      <c r="I221" s="170"/>
      <c r="J221" s="170"/>
      <c r="K221" s="170"/>
      <c r="L221" s="170"/>
      <c r="M221" s="170"/>
      <c r="N221" s="170"/>
      <c r="O221" s="170"/>
      <c r="P221" s="170"/>
      <c r="Q221" s="170"/>
      <c r="R221" s="170"/>
      <c r="S221" s="170"/>
      <c r="T221" s="170"/>
      <c r="U221" s="170"/>
      <c r="V221" s="170"/>
      <c r="W221" s="170"/>
      <c r="X221" s="170"/>
      <c r="Y221" s="170"/>
      <c r="Z221" s="156"/>
    </row>
    <row r="222" ht="15.75" customHeight="1">
      <c r="A222" s="184"/>
      <c r="B222" s="184"/>
      <c r="C222" s="170"/>
      <c r="D222" s="170"/>
      <c r="E222" s="177"/>
      <c r="F222" s="170"/>
      <c r="G222" s="170"/>
      <c r="H222" s="170"/>
      <c r="I222" s="170"/>
      <c r="J222" s="170"/>
      <c r="K222" s="170"/>
      <c r="L222" s="170"/>
      <c r="M222" s="170"/>
      <c r="N222" s="170"/>
      <c r="O222" s="170"/>
      <c r="P222" s="170"/>
      <c r="Q222" s="170"/>
      <c r="R222" s="170"/>
      <c r="S222" s="170"/>
      <c r="T222" s="170"/>
      <c r="U222" s="170"/>
      <c r="V222" s="170"/>
      <c r="W222" s="170"/>
      <c r="X222" s="170"/>
      <c r="Y222" s="170"/>
      <c r="Z222" s="156"/>
    </row>
    <row r="223" ht="15.75" customHeight="1">
      <c r="A223" s="184"/>
      <c r="B223" s="184"/>
      <c r="C223" s="170"/>
      <c r="D223" s="170"/>
      <c r="E223" s="177"/>
      <c r="F223" s="170"/>
      <c r="G223" s="170"/>
      <c r="H223" s="170"/>
      <c r="I223" s="170"/>
      <c r="J223" s="170"/>
      <c r="K223" s="170"/>
      <c r="L223" s="170"/>
      <c r="M223" s="170"/>
      <c r="N223" s="170"/>
      <c r="O223" s="170"/>
      <c r="P223" s="170"/>
      <c r="Q223" s="170"/>
      <c r="R223" s="170"/>
      <c r="S223" s="170"/>
      <c r="T223" s="170"/>
      <c r="U223" s="170"/>
      <c r="V223" s="170"/>
      <c r="W223" s="170"/>
      <c r="X223" s="170"/>
      <c r="Y223" s="170"/>
      <c r="Z223" s="156"/>
    </row>
    <row r="224" ht="15.75" customHeight="1">
      <c r="A224" s="184"/>
      <c r="B224" s="184"/>
      <c r="C224" s="170"/>
      <c r="D224" s="170"/>
      <c r="E224" s="177"/>
      <c r="F224" s="170"/>
      <c r="G224" s="170"/>
      <c r="H224" s="170"/>
      <c r="I224" s="170"/>
      <c r="J224" s="170"/>
      <c r="K224" s="170"/>
      <c r="L224" s="170"/>
      <c r="M224" s="170"/>
      <c r="N224" s="170"/>
      <c r="O224" s="170"/>
      <c r="P224" s="170"/>
      <c r="Q224" s="170"/>
      <c r="R224" s="170"/>
      <c r="S224" s="170"/>
      <c r="T224" s="170"/>
      <c r="U224" s="170"/>
      <c r="V224" s="170"/>
      <c r="W224" s="170"/>
      <c r="X224" s="170"/>
      <c r="Y224" s="170"/>
      <c r="Z224" s="156"/>
    </row>
    <row r="225" ht="15.75" customHeight="1">
      <c r="A225" s="184"/>
      <c r="B225" s="184"/>
      <c r="C225" s="170"/>
      <c r="D225" s="170"/>
      <c r="E225" s="177"/>
      <c r="F225" s="170"/>
      <c r="G225" s="170"/>
      <c r="H225" s="170"/>
      <c r="I225" s="170"/>
      <c r="J225" s="170"/>
      <c r="K225" s="170"/>
      <c r="L225" s="170"/>
      <c r="M225" s="170"/>
      <c r="N225" s="170"/>
      <c r="O225" s="170"/>
      <c r="P225" s="170"/>
      <c r="Q225" s="170"/>
      <c r="R225" s="170"/>
      <c r="S225" s="170"/>
      <c r="T225" s="170"/>
      <c r="U225" s="170"/>
      <c r="V225" s="170"/>
      <c r="W225" s="170"/>
      <c r="X225" s="170"/>
      <c r="Y225" s="170"/>
      <c r="Z225" s="156"/>
    </row>
    <row r="226" ht="15.75" customHeight="1">
      <c r="A226" s="184"/>
      <c r="B226" s="184"/>
      <c r="C226" s="170"/>
      <c r="D226" s="170"/>
      <c r="E226" s="177"/>
      <c r="F226" s="170"/>
      <c r="G226" s="170"/>
      <c r="H226" s="170"/>
      <c r="I226" s="170"/>
      <c r="J226" s="170"/>
      <c r="K226" s="170"/>
      <c r="L226" s="170"/>
      <c r="M226" s="170"/>
      <c r="N226" s="170"/>
      <c r="O226" s="170"/>
      <c r="P226" s="170"/>
      <c r="Q226" s="170"/>
      <c r="R226" s="170"/>
      <c r="S226" s="170"/>
      <c r="T226" s="170"/>
      <c r="U226" s="170"/>
      <c r="V226" s="170"/>
      <c r="W226" s="170"/>
      <c r="X226" s="170"/>
      <c r="Y226" s="170"/>
      <c r="Z226" s="156"/>
    </row>
    <row r="227" ht="15.75" customHeight="1">
      <c r="A227" s="184"/>
      <c r="B227" s="184"/>
      <c r="C227" s="170"/>
      <c r="D227" s="170"/>
      <c r="E227" s="177"/>
      <c r="F227" s="170"/>
      <c r="G227" s="170"/>
      <c r="H227" s="170"/>
      <c r="I227" s="170"/>
      <c r="J227" s="170"/>
      <c r="K227" s="170"/>
      <c r="L227" s="170"/>
      <c r="M227" s="170"/>
      <c r="N227" s="170"/>
      <c r="O227" s="170"/>
      <c r="P227" s="170"/>
      <c r="Q227" s="170"/>
      <c r="R227" s="170"/>
      <c r="S227" s="170"/>
      <c r="T227" s="170"/>
      <c r="U227" s="170"/>
      <c r="V227" s="170"/>
      <c r="W227" s="170"/>
      <c r="X227" s="170"/>
      <c r="Y227" s="170"/>
      <c r="Z227" s="156"/>
    </row>
    <row r="228" ht="15.75" customHeight="1">
      <c r="A228" s="184"/>
      <c r="B228" s="184"/>
      <c r="C228" s="170"/>
      <c r="D228" s="170"/>
      <c r="E228" s="177"/>
      <c r="F228" s="170"/>
      <c r="G228" s="170"/>
      <c r="H228" s="170"/>
      <c r="I228" s="170"/>
      <c r="J228" s="170"/>
      <c r="K228" s="170"/>
      <c r="L228" s="170"/>
      <c r="M228" s="170"/>
      <c r="N228" s="170"/>
      <c r="O228" s="170"/>
      <c r="P228" s="170"/>
      <c r="Q228" s="170"/>
      <c r="R228" s="170"/>
      <c r="S228" s="170"/>
      <c r="T228" s="170"/>
      <c r="U228" s="170"/>
      <c r="V228" s="170"/>
      <c r="W228" s="170"/>
      <c r="X228" s="170"/>
      <c r="Y228" s="170"/>
      <c r="Z228" s="156"/>
    </row>
    <row r="229" ht="15.75" customHeight="1">
      <c r="A229" s="184"/>
      <c r="B229" s="184"/>
      <c r="C229" s="170"/>
      <c r="D229" s="170"/>
      <c r="E229" s="177"/>
      <c r="F229" s="170"/>
      <c r="G229" s="170"/>
      <c r="H229" s="170"/>
      <c r="I229" s="170"/>
      <c r="J229" s="170"/>
      <c r="K229" s="170"/>
      <c r="L229" s="170"/>
      <c r="M229" s="170"/>
      <c r="N229" s="170"/>
      <c r="O229" s="170"/>
      <c r="P229" s="170"/>
      <c r="Q229" s="170"/>
      <c r="R229" s="170"/>
      <c r="S229" s="170"/>
      <c r="T229" s="170"/>
      <c r="U229" s="170"/>
      <c r="V229" s="170"/>
      <c r="W229" s="170"/>
      <c r="X229" s="170"/>
      <c r="Y229" s="170"/>
      <c r="Z229" s="156"/>
    </row>
    <row r="230" ht="15.75" customHeight="1">
      <c r="A230" s="184"/>
      <c r="B230" s="184"/>
      <c r="C230" s="170"/>
      <c r="D230" s="170"/>
      <c r="E230" s="177"/>
      <c r="F230" s="170"/>
      <c r="G230" s="170"/>
      <c r="H230" s="170"/>
      <c r="I230" s="170"/>
      <c r="J230" s="170"/>
      <c r="K230" s="170"/>
      <c r="L230" s="170"/>
      <c r="M230" s="170"/>
      <c r="N230" s="170"/>
      <c r="O230" s="170"/>
      <c r="P230" s="170"/>
      <c r="Q230" s="170"/>
      <c r="R230" s="170"/>
      <c r="S230" s="170"/>
      <c r="T230" s="170"/>
      <c r="U230" s="170"/>
      <c r="V230" s="170"/>
      <c r="W230" s="170"/>
      <c r="X230" s="170"/>
      <c r="Y230" s="170"/>
      <c r="Z230" s="156"/>
    </row>
    <row r="231" ht="15.75" customHeight="1">
      <c r="A231" s="184"/>
      <c r="B231" s="184"/>
      <c r="C231" s="170"/>
      <c r="D231" s="170"/>
      <c r="E231" s="177"/>
      <c r="F231" s="170"/>
      <c r="G231" s="170"/>
      <c r="H231" s="170"/>
      <c r="I231" s="170"/>
      <c r="J231" s="170"/>
      <c r="K231" s="170"/>
      <c r="L231" s="170"/>
      <c r="M231" s="170"/>
      <c r="N231" s="170"/>
      <c r="O231" s="170"/>
      <c r="P231" s="170"/>
      <c r="Q231" s="170"/>
      <c r="R231" s="170"/>
      <c r="S231" s="170"/>
      <c r="T231" s="170"/>
      <c r="U231" s="170"/>
      <c r="V231" s="170"/>
      <c r="W231" s="170"/>
      <c r="X231" s="170"/>
      <c r="Y231" s="170"/>
      <c r="Z231" s="156"/>
    </row>
    <row r="232" ht="15.75" customHeight="1">
      <c r="A232" s="184"/>
      <c r="B232" s="184"/>
      <c r="C232" s="170"/>
      <c r="D232" s="170"/>
      <c r="E232" s="177"/>
      <c r="F232" s="170"/>
      <c r="G232" s="170"/>
      <c r="H232" s="170"/>
      <c r="I232" s="170"/>
      <c r="J232" s="170"/>
      <c r="K232" s="170"/>
      <c r="L232" s="170"/>
      <c r="M232" s="170"/>
      <c r="N232" s="170"/>
      <c r="O232" s="170"/>
      <c r="P232" s="170"/>
      <c r="Q232" s="170"/>
      <c r="R232" s="170"/>
      <c r="S232" s="170"/>
      <c r="T232" s="170"/>
      <c r="U232" s="170"/>
      <c r="V232" s="170"/>
      <c r="W232" s="170"/>
      <c r="X232" s="170"/>
      <c r="Y232" s="170"/>
      <c r="Z232" s="156"/>
    </row>
    <row r="233" ht="15.75" customHeight="1">
      <c r="A233" s="184"/>
      <c r="B233" s="184"/>
      <c r="C233" s="170"/>
      <c r="D233" s="170"/>
      <c r="E233" s="177"/>
      <c r="F233" s="170"/>
      <c r="G233" s="170"/>
      <c r="H233" s="170"/>
      <c r="I233" s="170"/>
      <c r="J233" s="170"/>
      <c r="K233" s="170"/>
      <c r="L233" s="170"/>
      <c r="M233" s="170"/>
      <c r="N233" s="170"/>
      <c r="O233" s="170"/>
      <c r="P233" s="170"/>
      <c r="Q233" s="170"/>
      <c r="R233" s="170"/>
      <c r="S233" s="170"/>
      <c r="T233" s="170"/>
      <c r="U233" s="170"/>
      <c r="V233" s="170"/>
      <c r="W233" s="170"/>
      <c r="X233" s="170"/>
      <c r="Y233" s="170"/>
      <c r="Z233" s="156"/>
    </row>
    <row r="234" ht="15.75" customHeight="1">
      <c r="A234" s="184"/>
      <c r="B234" s="184"/>
      <c r="C234" s="170"/>
      <c r="D234" s="170"/>
      <c r="E234" s="177"/>
      <c r="F234" s="170"/>
      <c r="G234" s="170"/>
      <c r="H234" s="170"/>
      <c r="I234" s="170"/>
      <c r="J234" s="170"/>
      <c r="K234" s="170"/>
      <c r="L234" s="170"/>
      <c r="M234" s="170"/>
      <c r="N234" s="170"/>
      <c r="O234" s="170"/>
      <c r="P234" s="170"/>
      <c r="Q234" s="170"/>
      <c r="R234" s="170"/>
      <c r="S234" s="170"/>
      <c r="T234" s="170"/>
      <c r="U234" s="170"/>
      <c r="V234" s="170"/>
      <c r="W234" s="170"/>
      <c r="X234" s="170"/>
      <c r="Y234" s="170"/>
      <c r="Z234" s="156"/>
    </row>
    <row r="235" ht="15.75" customHeight="1">
      <c r="A235" s="184"/>
      <c r="B235" s="184"/>
      <c r="C235" s="170"/>
      <c r="D235" s="170"/>
      <c r="E235" s="177"/>
      <c r="F235" s="170"/>
      <c r="G235" s="170"/>
      <c r="H235" s="170"/>
      <c r="I235" s="170"/>
      <c r="J235" s="170"/>
      <c r="K235" s="170"/>
      <c r="L235" s="170"/>
      <c r="M235" s="170"/>
      <c r="N235" s="170"/>
      <c r="O235" s="170"/>
      <c r="P235" s="170"/>
      <c r="Q235" s="170"/>
      <c r="R235" s="170"/>
      <c r="S235" s="170"/>
      <c r="T235" s="170"/>
      <c r="U235" s="170"/>
      <c r="V235" s="170"/>
      <c r="W235" s="170"/>
      <c r="X235" s="170"/>
      <c r="Y235" s="170"/>
      <c r="Z235" s="156"/>
    </row>
    <row r="236" ht="15.75" customHeight="1">
      <c r="A236" s="184"/>
      <c r="B236" s="184"/>
      <c r="C236" s="170"/>
      <c r="D236" s="170"/>
      <c r="E236" s="177"/>
      <c r="F236" s="170"/>
      <c r="G236" s="170"/>
      <c r="H236" s="170"/>
      <c r="I236" s="170"/>
      <c r="J236" s="170"/>
      <c r="K236" s="170"/>
      <c r="L236" s="170"/>
      <c r="M236" s="170"/>
      <c r="N236" s="170"/>
      <c r="O236" s="170"/>
      <c r="P236" s="170"/>
      <c r="Q236" s="170"/>
      <c r="R236" s="170"/>
      <c r="S236" s="170"/>
      <c r="T236" s="170"/>
      <c r="U236" s="170"/>
      <c r="V236" s="170"/>
      <c r="W236" s="170"/>
      <c r="X236" s="170"/>
      <c r="Y236" s="170"/>
      <c r="Z236" s="156"/>
    </row>
    <row r="237" ht="15.75" customHeight="1">
      <c r="A237" s="184"/>
      <c r="B237" s="184"/>
      <c r="C237" s="170"/>
      <c r="D237" s="170"/>
      <c r="E237" s="177"/>
      <c r="F237" s="170"/>
      <c r="G237" s="170"/>
      <c r="H237" s="170"/>
      <c r="I237" s="170"/>
      <c r="J237" s="170"/>
      <c r="K237" s="170"/>
      <c r="L237" s="170"/>
      <c r="M237" s="170"/>
      <c r="N237" s="170"/>
      <c r="O237" s="170"/>
      <c r="P237" s="170"/>
      <c r="Q237" s="170"/>
      <c r="R237" s="170"/>
      <c r="S237" s="170"/>
      <c r="T237" s="170"/>
      <c r="U237" s="170"/>
      <c r="V237" s="170"/>
      <c r="W237" s="170"/>
      <c r="X237" s="170"/>
      <c r="Y237" s="170"/>
      <c r="Z237" s="156"/>
    </row>
    <row r="238" ht="15.75" customHeight="1">
      <c r="A238" s="184"/>
      <c r="B238" s="184"/>
      <c r="C238" s="170"/>
      <c r="D238" s="170"/>
      <c r="E238" s="177"/>
      <c r="F238" s="170"/>
      <c r="G238" s="170"/>
      <c r="H238" s="170"/>
      <c r="I238" s="170"/>
      <c r="J238" s="170"/>
      <c r="K238" s="170"/>
      <c r="L238" s="170"/>
      <c r="M238" s="170"/>
      <c r="N238" s="170"/>
      <c r="O238" s="170"/>
      <c r="P238" s="170"/>
      <c r="Q238" s="170"/>
      <c r="R238" s="170"/>
      <c r="S238" s="170"/>
      <c r="T238" s="170"/>
      <c r="U238" s="170"/>
      <c r="V238" s="170"/>
      <c r="W238" s="170"/>
      <c r="X238" s="170"/>
      <c r="Y238" s="170"/>
      <c r="Z238" s="156"/>
    </row>
    <row r="239" ht="15.75" customHeight="1">
      <c r="A239" s="184"/>
      <c r="B239" s="184"/>
      <c r="C239" s="170"/>
      <c r="D239" s="170"/>
      <c r="E239" s="177"/>
      <c r="F239" s="170"/>
      <c r="G239" s="170"/>
      <c r="H239" s="170"/>
      <c r="I239" s="170"/>
      <c r="J239" s="170"/>
      <c r="K239" s="170"/>
      <c r="L239" s="170"/>
      <c r="M239" s="170"/>
      <c r="N239" s="170"/>
      <c r="O239" s="170"/>
      <c r="P239" s="170"/>
      <c r="Q239" s="170"/>
      <c r="R239" s="170"/>
      <c r="S239" s="170"/>
      <c r="T239" s="170"/>
      <c r="U239" s="170"/>
      <c r="V239" s="170"/>
      <c r="W239" s="170"/>
      <c r="X239" s="170"/>
      <c r="Y239" s="170"/>
      <c r="Z239" s="156"/>
    </row>
    <row r="240" ht="15.75" customHeight="1">
      <c r="A240" s="184"/>
      <c r="B240" s="184"/>
      <c r="C240" s="170"/>
      <c r="D240" s="170"/>
      <c r="E240" s="177"/>
      <c r="F240" s="170"/>
      <c r="G240" s="170"/>
      <c r="H240" s="170"/>
      <c r="I240" s="170"/>
      <c r="J240" s="170"/>
      <c r="K240" s="170"/>
      <c r="L240" s="170"/>
      <c r="M240" s="170"/>
      <c r="N240" s="170"/>
      <c r="O240" s="170"/>
      <c r="P240" s="170"/>
      <c r="Q240" s="170"/>
      <c r="R240" s="170"/>
      <c r="S240" s="170"/>
      <c r="T240" s="170"/>
      <c r="U240" s="170"/>
      <c r="V240" s="170"/>
      <c r="W240" s="170"/>
      <c r="X240" s="170"/>
      <c r="Y240" s="170"/>
      <c r="Z240" s="156"/>
    </row>
    <row r="241" ht="15.75" customHeight="1">
      <c r="A241" s="184"/>
      <c r="B241" s="184"/>
      <c r="C241" s="170"/>
      <c r="D241" s="170"/>
      <c r="E241" s="177"/>
      <c r="F241" s="170"/>
      <c r="G241" s="170"/>
      <c r="H241" s="170"/>
      <c r="I241" s="170"/>
      <c r="J241" s="170"/>
      <c r="K241" s="170"/>
      <c r="L241" s="170"/>
      <c r="M241" s="170"/>
      <c r="N241" s="170"/>
      <c r="O241" s="170"/>
      <c r="P241" s="170"/>
      <c r="Q241" s="170"/>
      <c r="R241" s="170"/>
      <c r="S241" s="170"/>
      <c r="T241" s="170"/>
      <c r="U241" s="170"/>
      <c r="V241" s="170"/>
      <c r="W241" s="170"/>
      <c r="X241" s="170"/>
      <c r="Y241" s="170"/>
      <c r="Z241" s="156"/>
    </row>
    <row r="242" ht="15.75" customHeight="1">
      <c r="A242" s="184"/>
      <c r="B242" s="184"/>
      <c r="C242" s="170"/>
      <c r="D242" s="170"/>
      <c r="E242" s="177"/>
      <c r="F242" s="170"/>
      <c r="G242" s="170"/>
      <c r="H242" s="170"/>
      <c r="I242" s="170"/>
      <c r="J242" s="170"/>
      <c r="K242" s="170"/>
      <c r="L242" s="170"/>
      <c r="M242" s="170"/>
      <c r="N242" s="170"/>
      <c r="O242" s="170"/>
      <c r="P242" s="170"/>
      <c r="Q242" s="170"/>
      <c r="R242" s="170"/>
      <c r="S242" s="170"/>
      <c r="T242" s="170"/>
      <c r="U242" s="170"/>
      <c r="V242" s="170"/>
      <c r="W242" s="170"/>
      <c r="X242" s="170"/>
      <c r="Y242" s="170"/>
      <c r="Z242" s="156"/>
    </row>
    <row r="243" ht="15.75" customHeight="1">
      <c r="A243" s="184"/>
      <c r="B243" s="184"/>
      <c r="C243" s="170"/>
      <c r="D243" s="170"/>
      <c r="E243" s="177"/>
      <c r="F243" s="170"/>
      <c r="G243" s="170"/>
      <c r="H243" s="170"/>
      <c r="I243" s="170"/>
      <c r="J243" s="170"/>
      <c r="K243" s="170"/>
      <c r="L243" s="170"/>
      <c r="M243" s="170"/>
      <c r="N243" s="170"/>
      <c r="O243" s="170"/>
      <c r="P243" s="170"/>
      <c r="Q243" s="170"/>
      <c r="R243" s="170"/>
      <c r="S243" s="170"/>
      <c r="T243" s="170"/>
      <c r="U243" s="170"/>
      <c r="V243" s="170"/>
      <c r="W243" s="170"/>
      <c r="X243" s="170"/>
      <c r="Y243" s="170"/>
      <c r="Z243" s="156"/>
    </row>
    <row r="244" ht="15.75" customHeight="1">
      <c r="A244" s="184"/>
      <c r="B244" s="184"/>
      <c r="C244" s="170"/>
      <c r="D244" s="170"/>
      <c r="E244" s="177"/>
      <c r="F244" s="170"/>
      <c r="G244" s="170"/>
      <c r="H244" s="170"/>
      <c r="I244" s="170"/>
      <c r="J244" s="170"/>
      <c r="K244" s="170"/>
      <c r="L244" s="170"/>
      <c r="M244" s="170"/>
      <c r="N244" s="170"/>
      <c r="O244" s="170"/>
      <c r="P244" s="170"/>
      <c r="Q244" s="170"/>
      <c r="R244" s="170"/>
      <c r="S244" s="170"/>
      <c r="T244" s="170"/>
      <c r="U244" s="170"/>
      <c r="V244" s="170"/>
      <c r="W244" s="170"/>
      <c r="X244" s="170"/>
      <c r="Y244" s="170"/>
      <c r="Z244" s="156"/>
    </row>
    <row r="245" ht="15.75" customHeight="1">
      <c r="A245" s="184"/>
      <c r="B245" s="184"/>
      <c r="C245" s="170"/>
      <c r="D245" s="170"/>
      <c r="E245" s="177"/>
      <c r="F245" s="170"/>
      <c r="G245" s="170"/>
      <c r="H245" s="170"/>
      <c r="I245" s="170"/>
      <c r="J245" s="170"/>
      <c r="K245" s="170"/>
      <c r="L245" s="170"/>
      <c r="M245" s="170"/>
      <c r="N245" s="170"/>
      <c r="O245" s="170"/>
      <c r="P245" s="170"/>
      <c r="Q245" s="170"/>
      <c r="R245" s="170"/>
      <c r="S245" s="170"/>
      <c r="T245" s="170"/>
      <c r="U245" s="170"/>
      <c r="V245" s="170"/>
      <c r="W245" s="170"/>
      <c r="X245" s="170"/>
      <c r="Y245" s="170"/>
      <c r="Z245" s="156"/>
    </row>
    <row r="246" ht="15.75" customHeight="1">
      <c r="A246" s="184"/>
      <c r="B246" s="184"/>
      <c r="C246" s="170"/>
      <c r="D246" s="170"/>
      <c r="E246" s="177"/>
      <c r="F246" s="170"/>
      <c r="G246" s="170"/>
      <c r="H246" s="170"/>
      <c r="I246" s="170"/>
      <c r="J246" s="170"/>
      <c r="K246" s="170"/>
      <c r="L246" s="170"/>
      <c r="M246" s="170"/>
      <c r="N246" s="170"/>
      <c r="O246" s="170"/>
      <c r="P246" s="170"/>
      <c r="Q246" s="170"/>
      <c r="R246" s="170"/>
      <c r="S246" s="170"/>
      <c r="T246" s="170"/>
      <c r="U246" s="170"/>
      <c r="V246" s="170"/>
      <c r="W246" s="170"/>
      <c r="X246" s="170"/>
      <c r="Y246" s="170"/>
      <c r="Z246" s="156"/>
    </row>
    <row r="247" ht="15.75" customHeight="1">
      <c r="A247" s="184"/>
      <c r="B247" s="184"/>
      <c r="C247" s="170"/>
      <c r="D247" s="170"/>
      <c r="E247" s="177"/>
      <c r="F247" s="170"/>
      <c r="G247" s="170"/>
      <c r="H247" s="170"/>
      <c r="I247" s="170"/>
      <c r="J247" s="170"/>
      <c r="K247" s="170"/>
      <c r="L247" s="170"/>
      <c r="M247" s="170"/>
      <c r="N247" s="170"/>
      <c r="O247" s="170"/>
      <c r="P247" s="170"/>
      <c r="Q247" s="170"/>
      <c r="R247" s="170"/>
      <c r="S247" s="170"/>
      <c r="T247" s="170"/>
      <c r="U247" s="170"/>
      <c r="V247" s="170"/>
      <c r="W247" s="170"/>
      <c r="X247" s="170"/>
      <c r="Y247" s="170"/>
      <c r="Z247" s="156"/>
    </row>
    <row r="248" ht="15.75" customHeight="1">
      <c r="A248" s="184"/>
      <c r="B248" s="184"/>
      <c r="C248" s="170"/>
      <c r="D248" s="170"/>
      <c r="E248" s="177"/>
      <c r="F248" s="170"/>
      <c r="G248" s="170"/>
      <c r="H248" s="170"/>
      <c r="I248" s="170"/>
      <c r="J248" s="170"/>
      <c r="K248" s="170"/>
      <c r="L248" s="170"/>
      <c r="M248" s="170"/>
      <c r="N248" s="170"/>
      <c r="O248" s="170"/>
      <c r="P248" s="170"/>
      <c r="Q248" s="170"/>
      <c r="R248" s="170"/>
      <c r="S248" s="170"/>
      <c r="T248" s="170"/>
      <c r="U248" s="170"/>
      <c r="V248" s="170"/>
      <c r="W248" s="170"/>
      <c r="X248" s="170"/>
      <c r="Y248" s="170"/>
      <c r="Z248" s="156"/>
    </row>
    <row r="249" ht="15.75" customHeight="1">
      <c r="A249" s="184"/>
      <c r="B249" s="184"/>
      <c r="C249" s="170"/>
      <c r="D249" s="170"/>
      <c r="E249" s="177"/>
      <c r="F249" s="170"/>
      <c r="G249" s="170"/>
      <c r="H249" s="170"/>
      <c r="I249" s="170"/>
      <c r="J249" s="170"/>
      <c r="K249" s="170"/>
      <c r="L249" s="170"/>
      <c r="M249" s="170"/>
      <c r="N249" s="170"/>
      <c r="O249" s="170"/>
      <c r="P249" s="170"/>
      <c r="Q249" s="170"/>
      <c r="R249" s="170"/>
      <c r="S249" s="170"/>
      <c r="T249" s="170"/>
      <c r="U249" s="170"/>
      <c r="V249" s="170"/>
      <c r="W249" s="170"/>
      <c r="X249" s="170"/>
      <c r="Y249" s="170"/>
      <c r="Z249" s="156"/>
    </row>
    <row r="250" ht="15.75" customHeight="1">
      <c r="A250" s="184"/>
      <c r="B250" s="184"/>
      <c r="C250" s="170"/>
      <c r="D250" s="170"/>
      <c r="E250" s="177"/>
      <c r="F250" s="170"/>
      <c r="G250" s="170"/>
      <c r="H250" s="170"/>
      <c r="I250" s="170"/>
      <c r="J250" s="170"/>
      <c r="K250" s="170"/>
      <c r="L250" s="170"/>
      <c r="M250" s="170"/>
      <c r="N250" s="170"/>
      <c r="O250" s="170"/>
      <c r="P250" s="170"/>
      <c r="Q250" s="170"/>
      <c r="R250" s="170"/>
      <c r="S250" s="170"/>
      <c r="T250" s="170"/>
      <c r="U250" s="170"/>
      <c r="V250" s="170"/>
      <c r="W250" s="170"/>
      <c r="X250" s="170"/>
      <c r="Y250" s="170"/>
      <c r="Z250" s="156"/>
    </row>
    <row r="251" ht="15.75" customHeight="1">
      <c r="A251" s="184"/>
      <c r="B251" s="184"/>
      <c r="C251" s="170"/>
      <c r="D251" s="170"/>
      <c r="E251" s="177"/>
      <c r="F251" s="170"/>
      <c r="G251" s="170"/>
      <c r="H251" s="170"/>
      <c r="I251" s="170"/>
      <c r="J251" s="170"/>
      <c r="K251" s="170"/>
      <c r="L251" s="170"/>
      <c r="M251" s="170"/>
      <c r="N251" s="170"/>
      <c r="O251" s="170"/>
      <c r="P251" s="170"/>
      <c r="Q251" s="170"/>
      <c r="R251" s="170"/>
      <c r="S251" s="170"/>
      <c r="T251" s="170"/>
      <c r="U251" s="170"/>
      <c r="V251" s="170"/>
      <c r="W251" s="170"/>
      <c r="X251" s="170"/>
      <c r="Y251" s="170"/>
      <c r="Z251" s="156"/>
    </row>
    <row r="252" ht="15.75" customHeight="1">
      <c r="A252" s="184"/>
      <c r="B252" s="184"/>
      <c r="C252" s="170"/>
      <c r="D252" s="170"/>
      <c r="E252" s="177"/>
      <c r="F252" s="170"/>
      <c r="G252" s="170"/>
      <c r="H252" s="170"/>
      <c r="I252" s="170"/>
      <c r="J252" s="170"/>
      <c r="K252" s="170"/>
      <c r="L252" s="170"/>
      <c r="M252" s="170"/>
      <c r="N252" s="170"/>
      <c r="O252" s="170"/>
      <c r="P252" s="170"/>
      <c r="Q252" s="170"/>
      <c r="R252" s="170"/>
      <c r="S252" s="170"/>
      <c r="T252" s="170"/>
      <c r="U252" s="170"/>
      <c r="V252" s="170"/>
      <c r="W252" s="170"/>
      <c r="X252" s="170"/>
      <c r="Y252" s="170"/>
      <c r="Z252" s="156"/>
    </row>
    <row r="253" ht="15.75" customHeight="1">
      <c r="A253" s="184"/>
      <c r="B253" s="184"/>
      <c r="C253" s="170"/>
      <c r="D253" s="170"/>
      <c r="E253" s="177"/>
      <c r="F253" s="170"/>
      <c r="G253" s="170"/>
      <c r="H253" s="170"/>
      <c r="I253" s="170"/>
      <c r="J253" s="170"/>
      <c r="K253" s="170"/>
      <c r="L253" s="170"/>
      <c r="M253" s="170"/>
      <c r="N253" s="170"/>
      <c r="O253" s="170"/>
      <c r="P253" s="170"/>
      <c r="Q253" s="170"/>
      <c r="R253" s="170"/>
      <c r="S253" s="170"/>
      <c r="T253" s="170"/>
      <c r="U253" s="170"/>
      <c r="V253" s="170"/>
      <c r="W253" s="170"/>
      <c r="X253" s="170"/>
      <c r="Y253" s="170"/>
      <c r="Z253" s="156"/>
    </row>
    <row r="254" ht="15.75" customHeight="1">
      <c r="A254" s="184"/>
      <c r="B254" s="184"/>
      <c r="C254" s="170"/>
      <c r="D254" s="170"/>
      <c r="E254" s="177"/>
      <c r="F254" s="170"/>
      <c r="G254" s="170"/>
      <c r="H254" s="170"/>
      <c r="I254" s="170"/>
      <c r="J254" s="170"/>
      <c r="K254" s="170"/>
      <c r="L254" s="170"/>
      <c r="M254" s="170"/>
      <c r="N254" s="170"/>
      <c r="O254" s="170"/>
      <c r="P254" s="170"/>
      <c r="Q254" s="170"/>
      <c r="R254" s="170"/>
      <c r="S254" s="170"/>
      <c r="T254" s="170"/>
      <c r="U254" s="170"/>
      <c r="V254" s="170"/>
      <c r="W254" s="170"/>
      <c r="X254" s="170"/>
      <c r="Y254" s="170"/>
      <c r="Z254" s="156"/>
    </row>
    <row r="255" ht="15.75" customHeight="1">
      <c r="A255" s="184"/>
      <c r="B255" s="184"/>
      <c r="C255" s="170"/>
      <c r="D255" s="170"/>
      <c r="E255" s="177"/>
      <c r="F255" s="170"/>
      <c r="G255" s="170"/>
      <c r="H255" s="170"/>
      <c r="I255" s="170"/>
      <c r="J255" s="170"/>
      <c r="K255" s="170"/>
      <c r="L255" s="170"/>
      <c r="M255" s="170"/>
      <c r="N255" s="170"/>
      <c r="O255" s="170"/>
      <c r="P255" s="170"/>
      <c r="Q255" s="170"/>
      <c r="R255" s="170"/>
      <c r="S255" s="170"/>
      <c r="T255" s="170"/>
      <c r="U255" s="170"/>
      <c r="V255" s="170"/>
      <c r="W255" s="170"/>
      <c r="X255" s="170"/>
      <c r="Y255" s="170"/>
      <c r="Z255" s="156"/>
    </row>
    <row r="256" ht="15.75" customHeight="1">
      <c r="A256" s="184"/>
      <c r="B256" s="184"/>
      <c r="C256" s="170"/>
      <c r="D256" s="170"/>
      <c r="E256" s="177"/>
      <c r="F256" s="170"/>
      <c r="G256" s="170"/>
      <c r="H256" s="170"/>
      <c r="I256" s="170"/>
      <c r="J256" s="170"/>
      <c r="K256" s="170"/>
      <c r="L256" s="170"/>
      <c r="M256" s="170"/>
      <c r="N256" s="170"/>
      <c r="O256" s="170"/>
      <c r="P256" s="170"/>
      <c r="Q256" s="170"/>
      <c r="R256" s="170"/>
      <c r="S256" s="170"/>
      <c r="T256" s="170"/>
      <c r="U256" s="170"/>
      <c r="V256" s="170"/>
      <c r="W256" s="170"/>
      <c r="X256" s="170"/>
      <c r="Y256" s="170"/>
      <c r="Z256" s="156"/>
    </row>
    <row r="257" ht="15.75" customHeight="1">
      <c r="A257" s="184"/>
      <c r="B257" s="184"/>
      <c r="C257" s="170"/>
      <c r="D257" s="170"/>
      <c r="E257" s="177"/>
      <c r="F257" s="170"/>
      <c r="G257" s="170"/>
      <c r="H257" s="170"/>
      <c r="I257" s="170"/>
      <c r="J257" s="170"/>
      <c r="K257" s="170"/>
      <c r="L257" s="170"/>
      <c r="M257" s="170"/>
      <c r="N257" s="170"/>
      <c r="O257" s="170"/>
      <c r="P257" s="170"/>
      <c r="Q257" s="170"/>
      <c r="R257" s="170"/>
      <c r="S257" s="170"/>
      <c r="T257" s="170"/>
      <c r="U257" s="170"/>
      <c r="V257" s="170"/>
      <c r="W257" s="170"/>
      <c r="X257" s="170"/>
      <c r="Y257" s="170"/>
      <c r="Z257" s="156"/>
    </row>
    <row r="258" ht="15.75" customHeight="1">
      <c r="A258" s="184"/>
      <c r="B258" s="184"/>
      <c r="C258" s="170"/>
      <c r="D258" s="170"/>
      <c r="E258" s="177"/>
      <c r="F258" s="170"/>
      <c r="G258" s="170"/>
      <c r="H258" s="170"/>
      <c r="I258" s="170"/>
      <c r="J258" s="170"/>
      <c r="K258" s="170"/>
      <c r="L258" s="170"/>
      <c r="M258" s="170"/>
      <c r="N258" s="170"/>
      <c r="O258" s="170"/>
      <c r="P258" s="170"/>
      <c r="Q258" s="170"/>
      <c r="R258" s="170"/>
      <c r="S258" s="170"/>
      <c r="T258" s="170"/>
      <c r="U258" s="170"/>
      <c r="V258" s="170"/>
      <c r="W258" s="170"/>
      <c r="X258" s="170"/>
      <c r="Y258" s="170"/>
      <c r="Z258" s="156"/>
    </row>
    <row r="259" ht="15.75" customHeight="1">
      <c r="A259" s="184"/>
      <c r="B259" s="184"/>
      <c r="C259" s="170"/>
      <c r="D259" s="170"/>
      <c r="E259" s="177"/>
      <c r="F259" s="170"/>
      <c r="G259" s="170"/>
      <c r="H259" s="170"/>
      <c r="I259" s="170"/>
      <c r="J259" s="170"/>
      <c r="K259" s="170"/>
      <c r="L259" s="170"/>
      <c r="M259" s="170"/>
      <c r="N259" s="170"/>
      <c r="O259" s="170"/>
      <c r="P259" s="170"/>
      <c r="Q259" s="170"/>
      <c r="R259" s="170"/>
      <c r="S259" s="170"/>
      <c r="T259" s="170"/>
      <c r="U259" s="170"/>
      <c r="V259" s="170"/>
      <c r="W259" s="170"/>
      <c r="X259" s="170"/>
      <c r="Y259" s="170"/>
      <c r="Z259" s="156"/>
    </row>
    <row r="260" ht="15.75" customHeight="1">
      <c r="A260" s="184"/>
      <c r="B260" s="184"/>
      <c r="C260" s="170"/>
      <c r="D260" s="170"/>
      <c r="E260" s="177"/>
      <c r="F260" s="170"/>
      <c r="G260" s="170"/>
      <c r="H260" s="170"/>
      <c r="I260" s="170"/>
      <c r="J260" s="170"/>
      <c r="K260" s="170"/>
      <c r="L260" s="170"/>
      <c r="M260" s="170"/>
      <c r="N260" s="170"/>
      <c r="O260" s="170"/>
      <c r="P260" s="170"/>
      <c r="Q260" s="170"/>
      <c r="R260" s="170"/>
      <c r="S260" s="170"/>
      <c r="T260" s="170"/>
      <c r="U260" s="170"/>
      <c r="V260" s="170"/>
      <c r="W260" s="170"/>
      <c r="X260" s="170"/>
      <c r="Y260" s="170"/>
      <c r="Z260" s="156"/>
    </row>
    <row r="261" ht="15.75" customHeight="1">
      <c r="A261" s="184"/>
      <c r="B261" s="184"/>
      <c r="C261" s="170"/>
      <c r="D261" s="170"/>
      <c r="E261" s="177"/>
      <c r="F261" s="170"/>
      <c r="G261" s="170"/>
      <c r="H261" s="170"/>
      <c r="I261" s="170"/>
      <c r="J261" s="170"/>
      <c r="K261" s="170"/>
      <c r="L261" s="170"/>
      <c r="M261" s="170"/>
      <c r="N261" s="170"/>
      <c r="O261" s="170"/>
      <c r="P261" s="170"/>
      <c r="Q261" s="170"/>
      <c r="R261" s="170"/>
      <c r="S261" s="170"/>
      <c r="T261" s="170"/>
      <c r="U261" s="170"/>
      <c r="V261" s="170"/>
      <c r="W261" s="170"/>
      <c r="X261" s="170"/>
      <c r="Y261" s="170"/>
      <c r="Z261" s="156"/>
    </row>
    <row r="262" ht="15.75" customHeight="1">
      <c r="A262" s="184"/>
      <c r="B262" s="184"/>
      <c r="C262" s="170"/>
      <c r="D262" s="170"/>
      <c r="E262" s="177"/>
      <c r="F262" s="170"/>
      <c r="G262" s="170"/>
      <c r="H262" s="170"/>
      <c r="I262" s="170"/>
      <c r="J262" s="170"/>
      <c r="K262" s="170"/>
      <c r="L262" s="170"/>
      <c r="M262" s="170"/>
      <c r="N262" s="170"/>
      <c r="O262" s="170"/>
      <c r="P262" s="170"/>
      <c r="Q262" s="170"/>
      <c r="R262" s="170"/>
      <c r="S262" s="170"/>
      <c r="T262" s="170"/>
      <c r="U262" s="170"/>
      <c r="V262" s="170"/>
      <c r="W262" s="170"/>
      <c r="X262" s="170"/>
      <c r="Y262" s="170"/>
      <c r="Z262" s="156"/>
    </row>
    <row r="263" ht="15.75" customHeight="1">
      <c r="A263" s="184"/>
      <c r="B263" s="184"/>
      <c r="C263" s="170"/>
      <c r="D263" s="170"/>
      <c r="E263" s="177"/>
      <c r="F263" s="170"/>
      <c r="G263" s="170"/>
      <c r="H263" s="170"/>
      <c r="I263" s="170"/>
      <c r="J263" s="170"/>
      <c r="K263" s="170"/>
      <c r="L263" s="170"/>
      <c r="M263" s="170"/>
      <c r="N263" s="170"/>
      <c r="O263" s="170"/>
      <c r="P263" s="170"/>
      <c r="Q263" s="170"/>
      <c r="R263" s="170"/>
      <c r="S263" s="170"/>
      <c r="T263" s="170"/>
      <c r="U263" s="170"/>
      <c r="V263" s="170"/>
      <c r="W263" s="170"/>
      <c r="X263" s="170"/>
      <c r="Y263" s="170"/>
      <c r="Z263" s="156"/>
    </row>
    <row r="264" ht="15.75" customHeight="1">
      <c r="A264" s="184"/>
      <c r="B264" s="184"/>
      <c r="C264" s="170"/>
      <c r="D264" s="170"/>
      <c r="E264" s="177"/>
      <c r="F264" s="170"/>
      <c r="G264" s="170"/>
      <c r="H264" s="170"/>
      <c r="I264" s="170"/>
      <c r="J264" s="170"/>
      <c r="K264" s="170"/>
      <c r="L264" s="170"/>
      <c r="M264" s="170"/>
      <c r="N264" s="170"/>
      <c r="O264" s="170"/>
      <c r="P264" s="170"/>
      <c r="Q264" s="170"/>
      <c r="R264" s="170"/>
      <c r="S264" s="170"/>
      <c r="T264" s="170"/>
      <c r="U264" s="170"/>
      <c r="V264" s="170"/>
      <c r="W264" s="170"/>
      <c r="X264" s="170"/>
      <c r="Y264" s="170"/>
      <c r="Z264" s="156"/>
    </row>
    <row r="265" ht="15.75" customHeight="1">
      <c r="A265" s="184"/>
      <c r="B265" s="184"/>
      <c r="C265" s="170"/>
      <c r="D265" s="170"/>
      <c r="E265" s="177"/>
      <c r="F265" s="170"/>
      <c r="G265" s="170"/>
      <c r="H265" s="170"/>
      <c r="I265" s="170"/>
      <c r="J265" s="170"/>
      <c r="K265" s="170"/>
      <c r="L265" s="170"/>
      <c r="M265" s="170"/>
      <c r="N265" s="170"/>
      <c r="O265" s="170"/>
      <c r="P265" s="170"/>
      <c r="Q265" s="170"/>
      <c r="R265" s="170"/>
      <c r="S265" s="170"/>
      <c r="T265" s="170"/>
      <c r="U265" s="170"/>
      <c r="V265" s="170"/>
      <c r="W265" s="170"/>
      <c r="X265" s="170"/>
      <c r="Y265" s="170"/>
      <c r="Z265" s="156"/>
    </row>
    <row r="266" ht="15.75" customHeight="1">
      <c r="A266" s="184"/>
      <c r="B266" s="184"/>
      <c r="C266" s="170"/>
      <c r="D266" s="170"/>
      <c r="E266" s="177"/>
      <c r="F266" s="170"/>
      <c r="G266" s="170"/>
      <c r="H266" s="170"/>
      <c r="I266" s="170"/>
      <c r="J266" s="170"/>
      <c r="K266" s="170"/>
      <c r="L266" s="170"/>
      <c r="M266" s="170"/>
      <c r="N266" s="170"/>
      <c r="O266" s="170"/>
      <c r="P266" s="170"/>
      <c r="Q266" s="170"/>
      <c r="R266" s="170"/>
      <c r="S266" s="170"/>
      <c r="T266" s="170"/>
      <c r="U266" s="170"/>
      <c r="V266" s="170"/>
      <c r="W266" s="170"/>
      <c r="X266" s="170"/>
      <c r="Y266" s="170"/>
      <c r="Z266" s="156"/>
    </row>
    <row r="267" ht="15.75" customHeight="1">
      <c r="A267" s="184"/>
      <c r="B267" s="184"/>
      <c r="C267" s="170"/>
      <c r="D267" s="170"/>
      <c r="E267" s="177"/>
      <c r="F267" s="170"/>
      <c r="G267" s="170"/>
      <c r="H267" s="170"/>
      <c r="I267" s="170"/>
      <c r="J267" s="170"/>
      <c r="K267" s="170"/>
      <c r="L267" s="170"/>
      <c r="M267" s="170"/>
      <c r="N267" s="170"/>
      <c r="O267" s="170"/>
      <c r="P267" s="170"/>
      <c r="Q267" s="170"/>
      <c r="R267" s="170"/>
      <c r="S267" s="170"/>
      <c r="T267" s="170"/>
      <c r="U267" s="170"/>
      <c r="V267" s="170"/>
      <c r="W267" s="170"/>
      <c r="X267" s="170"/>
      <c r="Y267" s="170"/>
      <c r="Z267" s="156"/>
    </row>
    <row r="268" ht="15.75" customHeight="1">
      <c r="A268" s="184"/>
      <c r="B268" s="184"/>
      <c r="C268" s="170"/>
      <c r="D268" s="170"/>
      <c r="E268" s="177"/>
      <c r="F268" s="170"/>
      <c r="G268" s="170"/>
      <c r="H268" s="170"/>
      <c r="I268" s="170"/>
      <c r="J268" s="170"/>
      <c r="K268" s="170"/>
      <c r="L268" s="170"/>
      <c r="M268" s="170"/>
      <c r="N268" s="170"/>
      <c r="O268" s="170"/>
      <c r="P268" s="170"/>
      <c r="Q268" s="170"/>
      <c r="R268" s="170"/>
      <c r="S268" s="170"/>
      <c r="T268" s="170"/>
      <c r="U268" s="170"/>
      <c r="V268" s="170"/>
      <c r="W268" s="170"/>
      <c r="X268" s="170"/>
      <c r="Y268" s="170"/>
      <c r="Z268" s="156"/>
    </row>
    <row r="269" ht="15.75" customHeight="1">
      <c r="A269" s="184"/>
      <c r="B269" s="184"/>
      <c r="C269" s="170"/>
      <c r="D269" s="170"/>
      <c r="E269" s="177"/>
      <c r="F269" s="170"/>
      <c r="G269" s="170"/>
      <c r="H269" s="170"/>
      <c r="I269" s="170"/>
      <c r="J269" s="170"/>
      <c r="K269" s="170"/>
      <c r="L269" s="170"/>
      <c r="M269" s="170"/>
      <c r="N269" s="170"/>
      <c r="O269" s="170"/>
      <c r="P269" s="170"/>
      <c r="Q269" s="170"/>
      <c r="R269" s="170"/>
      <c r="S269" s="170"/>
      <c r="T269" s="170"/>
      <c r="U269" s="170"/>
      <c r="V269" s="170"/>
      <c r="W269" s="170"/>
      <c r="X269" s="170"/>
      <c r="Y269" s="170"/>
      <c r="Z269" s="156"/>
    </row>
    <row r="270" ht="15.75" customHeight="1">
      <c r="A270" s="184"/>
      <c r="B270" s="184"/>
      <c r="C270" s="170"/>
      <c r="D270" s="170"/>
      <c r="E270" s="177"/>
      <c r="F270" s="170"/>
      <c r="G270" s="170"/>
      <c r="H270" s="170"/>
      <c r="I270" s="170"/>
      <c r="J270" s="170"/>
      <c r="K270" s="170"/>
      <c r="L270" s="170"/>
      <c r="M270" s="170"/>
      <c r="N270" s="170"/>
      <c r="O270" s="170"/>
      <c r="P270" s="170"/>
      <c r="Q270" s="170"/>
      <c r="R270" s="170"/>
      <c r="S270" s="170"/>
      <c r="T270" s="170"/>
      <c r="U270" s="170"/>
      <c r="V270" s="170"/>
      <c r="W270" s="170"/>
      <c r="X270" s="170"/>
      <c r="Y270" s="170"/>
      <c r="Z270" s="156"/>
    </row>
    <row r="271" ht="15.75" customHeight="1">
      <c r="A271" s="184"/>
      <c r="B271" s="184"/>
      <c r="C271" s="170"/>
      <c r="D271" s="170"/>
      <c r="E271" s="177"/>
      <c r="F271" s="170"/>
      <c r="G271" s="170"/>
      <c r="H271" s="170"/>
      <c r="I271" s="170"/>
      <c r="J271" s="170"/>
      <c r="K271" s="170"/>
      <c r="L271" s="170"/>
      <c r="M271" s="170"/>
      <c r="N271" s="170"/>
      <c r="O271" s="170"/>
      <c r="P271" s="170"/>
      <c r="Q271" s="170"/>
      <c r="R271" s="170"/>
      <c r="S271" s="170"/>
      <c r="T271" s="170"/>
      <c r="U271" s="170"/>
      <c r="V271" s="170"/>
      <c r="W271" s="170"/>
      <c r="X271" s="170"/>
      <c r="Y271" s="170"/>
      <c r="Z271" s="156"/>
    </row>
    <row r="272" ht="15.75" customHeight="1">
      <c r="A272" s="184"/>
      <c r="B272" s="184"/>
      <c r="C272" s="170"/>
      <c r="D272" s="170"/>
      <c r="E272" s="177"/>
      <c r="F272" s="170"/>
      <c r="G272" s="170"/>
      <c r="H272" s="170"/>
      <c r="I272" s="170"/>
      <c r="J272" s="170"/>
      <c r="K272" s="170"/>
      <c r="L272" s="170"/>
      <c r="M272" s="170"/>
      <c r="N272" s="170"/>
      <c r="O272" s="170"/>
      <c r="P272" s="170"/>
      <c r="Q272" s="170"/>
      <c r="R272" s="170"/>
      <c r="S272" s="170"/>
      <c r="T272" s="170"/>
      <c r="U272" s="170"/>
      <c r="V272" s="170"/>
      <c r="W272" s="170"/>
      <c r="X272" s="170"/>
      <c r="Y272" s="170"/>
      <c r="Z272" s="156"/>
    </row>
    <row r="273" ht="15.75" customHeight="1">
      <c r="A273" s="184"/>
      <c r="B273" s="184"/>
      <c r="C273" s="170"/>
      <c r="D273" s="170"/>
      <c r="E273" s="177"/>
      <c r="F273" s="170"/>
      <c r="G273" s="170"/>
      <c r="H273" s="170"/>
      <c r="I273" s="170"/>
      <c r="J273" s="170"/>
      <c r="K273" s="170"/>
      <c r="L273" s="170"/>
      <c r="M273" s="170"/>
      <c r="N273" s="170"/>
      <c r="O273" s="170"/>
      <c r="P273" s="170"/>
      <c r="Q273" s="170"/>
      <c r="R273" s="170"/>
      <c r="S273" s="170"/>
      <c r="T273" s="170"/>
      <c r="U273" s="170"/>
      <c r="V273" s="170"/>
      <c r="W273" s="170"/>
      <c r="X273" s="170"/>
      <c r="Y273" s="170"/>
      <c r="Z273" s="156"/>
    </row>
    <row r="274" ht="15.75" customHeight="1">
      <c r="A274" s="184"/>
      <c r="B274" s="184"/>
      <c r="C274" s="170"/>
      <c r="D274" s="170"/>
      <c r="E274" s="177"/>
      <c r="F274" s="170"/>
      <c r="G274" s="170"/>
      <c r="H274" s="170"/>
      <c r="I274" s="170"/>
      <c r="J274" s="170"/>
      <c r="K274" s="170"/>
      <c r="L274" s="170"/>
      <c r="M274" s="170"/>
      <c r="N274" s="170"/>
      <c r="O274" s="170"/>
      <c r="P274" s="170"/>
      <c r="Q274" s="170"/>
      <c r="R274" s="170"/>
      <c r="S274" s="170"/>
      <c r="T274" s="170"/>
      <c r="U274" s="170"/>
      <c r="V274" s="170"/>
      <c r="W274" s="170"/>
      <c r="X274" s="170"/>
      <c r="Y274" s="170"/>
      <c r="Z274" s="156"/>
    </row>
    <row r="275" ht="15.75" customHeight="1">
      <c r="A275" s="184"/>
      <c r="B275" s="184"/>
      <c r="C275" s="170"/>
      <c r="D275" s="170"/>
      <c r="E275" s="177"/>
      <c r="F275" s="170"/>
      <c r="G275" s="170"/>
      <c r="H275" s="170"/>
      <c r="I275" s="170"/>
      <c r="J275" s="170"/>
      <c r="K275" s="170"/>
      <c r="L275" s="170"/>
      <c r="M275" s="170"/>
      <c r="N275" s="170"/>
      <c r="O275" s="170"/>
      <c r="P275" s="170"/>
      <c r="Q275" s="170"/>
      <c r="R275" s="170"/>
      <c r="S275" s="170"/>
      <c r="T275" s="170"/>
      <c r="U275" s="170"/>
      <c r="V275" s="170"/>
      <c r="W275" s="170"/>
      <c r="X275" s="170"/>
      <c r="Y275" s="170"/>
      <c r="Z275" s="156"/>
    </row>
    <row r="276" ht="15.75" customHeight="1">
      <c r="A276" s="184"/>
      <c r="B276" s="184"/>
      <c r="C276" s="170"/>
      <c r="D276" s="170"/>
      <c r="E276" s="177"/>
      <c r="F276" s="170"/>
      <c r="G276" s="170"/>
      <c r="H276" s="170"/>
      <c r="I276" s="170"/>
      <c r="J276" s="170"/>
      <c r="K276" s="170"/>
      <c r="L276" s="170"/>
      <c r="M276" s="170"/>
      <c r="N276" s="170"/>
      <c r="O276" s="170"/>
      <c r="P276" s="170"/>
      <c r="Q276" s="170"/>
      <c r="R276" s="170"/>
      <c r="S276" s="170"/>
      <c r="T276" s="170"/>
      <c r="U276" s="170"/>
      <c r="V276" s="170"/>
      <c r="W276" s="170"/>
      <c r="X276" s="170"/>
      <c r="Y276" s="170"/>
      <c r="Z276" s="156"/>
    </row>
    <row r="277" ht="15.75" customHeight="1">
      <c r="A277" s="184"/>
      <c r="B277" s="184"/>
      <c r="C277" s="170"/>
      <c r="D277" s="170"/>
      <c r="E277" s="177"/>
      <c r="F277" s="170"/>
      <c r="G277" s="170"/>
      <c r="H277" s="170"/>
      <c r="I277" s="170"/>
      <c r="J277" s="170"/>
      <c r="K277" s="170"/>
      <c r="L277" s="170"/>
      <c r="M277" s="170"/>
      <c r="N277" s="170"/>
      <c r="O277" s="170"/>
      <c r="P277" s="170"/>
      <c r="Q277" s="170"/>
      <c r="R277" s="170"/>
      <c r="S277" s="170"/>
      <c r="T277" s="170"/>
      <c r="U277" s="170"/>
      <c r="V277" s="170"/>
      <c r="W277" s="170"/>
      <c r="X277" s="170"/>
      <c r="Y277" s="170"/>
      <c r="Z277" s="156"/>
    </row>
    <row r="278" ht="15.75" customHeight="1">
      <c r="A278" s="184"/>
      <c r="B278" s="184"/>
      <c r="C278" s="170"/>
      <c r="D278" s="170"/>
      <c r="E278" s="177"/>
      <c r="F278" s="170"/>
      <c r="G278" s="170"/>
      <c r="H278" s="170"/>
      <c r="I278" s="170"/>
      <c r="J278" s="170"/>
      <c r="K278" s="170"/>
      <c r="L278" s="170"/>
      <c r="M278" s="170"/>
      <c r="N278" s="170"/>
      <c r="O278" s="170"/>
      <c r="P278" s="170"/>
      <c r="Q278" s="170"/>
      <c r="R278" s="170"/>
      <c r="S278" s="170"/>
      <c r="T278" s="170"/>
      <c r="U278" s="170"/>
      <c r="V278" s="170"/>
      <c r="W278" s="170"/>
      <c r="X278" s="170"/>
      <c r="Y278" s="170"/>
      <c r="Z278" s="156"/>
    </row>
    <row r="279" ht="15.75" customHeight="1">
      <c r="A279" s="184"/>
      <c r="B279" s="184"/>
      <c r="C279" s="170"/>
      <c r="D279" s="170"/>
      <c r="E279" s="177"/>
      <c r="F279" s="170"/>
      <c r="G279" s="170"/>
      <c r="H279" s="170"/>
      <c r="I279" s="170"/>
      <c r="J279" s="170"/>
      <c r="K279" s="170"/>
      <c r="L279" s="170"/>
      <c r="M279" s="170"/>
      <c r="N279" s="170"/>
      <c r="O279" s="170"/>
      <c r="P279" s="170"/>
      <c r="Q279" s="170"/>
      <c r="R279" s="170"/>
      <c r="S279" s="170"/>
      <c r="T279" s="170"/>
      <c r="U279" s="170"/>
      <c r="V279" s="170"/>
      <c r="W279" s="170"/>
      <c r="X279" s="170"/>
      <c r="Y279" s="170"/>
      <c r="Z279" s="156"/>
    </row>
    <row r="280" ht="15.75" customHeight="1">
      <c r="A280" s="184"/>
      <c r="B280" s="184"/>
      <c r="C280" s="170"/>
      <c r="D280" s="170"/>
      <c r="E280" s="177"/>
      <c r="F280" s="170"/>
      <c r="G280" s="170"/>
      <c r="H280" s="170"/>
      <c r="I280" s="170"/>
      <c r="J280" s="170"/>
      <c r="K280" s="170"/>
      <c r="L280" s="170"/>
      <c r="M280" s="170"/>
      <c r="N280" s="170"/>
      <c r="O280" s="170"/>
      <c r="P280" s="170"/>
      <c r="Q280" s="170"/>
      <c r="R280" s="170"/>
      <c r="S280" s="170"/>
      <c r="T280" s="170"/>
      <c r="U280" s="170"/>
      <c r="V280" s="170"/>
      <c r="W280" s="170"/>
      <c r="X280" s="170"/>
      <c r="Y280" s="170"/>
      <c r="Z280" s="156"/>
    </row>
    <row r="281" ht="15.75" customHeight="1">
      <c r="A281" s="184"/>
      <c r="B281" s="184"/>
      <c r="C281" s="170"/>
      <c r="D281" s="170"/>
      <c r="E281" s="177"/>
      <c r="F281" s="170"/>
      <c r="G281" s="170"/>
      <c r="H281" s="170"/>
      <c r="I281" s="170"/>
      <c r="J281" s="170"/>
      <c r="K281" s="170"/>
      <c r="L281" s="170"/>
      <c r="M281" s="170"/>
      <c r="N281" s="170"/>
      <c r="O281" s="170"/>
      <c r="P281" s="170"/>
      <c r="Q281" s="170"/>
      <c r="R281" s="170"/>
      <c r="S281" s="170"/>
      <c r="T281" s="170"/>
      <c r="U281" s="170"/>
      <c r="V281" s="170"/>
      <c r="W281" s="170"/>
      <c r="X281" s="170"/>
      <c r="Y281" s="170"/>
      <c r="Z281" s="156"/>
    </row>
    <row r="282" ht="15.75" customHeight="1">
      <c r="A282" s="184"/>
      <c r="B282" s="184"/>
      <c r="C282" s="170"/>
      <c r="D282" s="170"/>
      <c r="E282" s="177"/>
      <c r="F282" s="170"/>
      <c r="G282" s="170"/>
      <c r="H282" s="170"/>
      <c r="I282" s="170"/>
      <c r="J282" s="170"/>
      <c r="K282" s="170"/>
      <c r="L282" s="170"/>
      <c r="M282" s="170"/>
      <c r="N282" s="170"/>
      <c r="O282" s="170"/>
      <c r="P282" s="170"/>
      <c r="Q282" s="170"/>
      <c r="R282" s="170"/>
      <c r="S282" s="170"/>
      <c r="T282" s="170"/>
      <c r="U282" s="170"/>
      <c r="V282" s="170"/>
      <c r="W282" s="170"/>
      <c r="X282" s="170"/>
      <c r="Y282" s="170"/>
      <c r="Z282" s="156"/>
    </row>
    <row r="283" ht="15.75" customHeight="1">
      <c r="A283" s="184"/>
      <c r="B283" s="184"/>
      <c r="C283" s="170"/>
      <c r="D283" s="170"/>
      <c r="E283" s="177"/>
      <c r="F283" s="170"/>
      <c r="G283" s="170"/>
      <c r="H283" s="170"/>
      <c r="I283" s="170"/>
      <c r="J283" s="170"/>
      <c r="K283" s="170"/>
      <c r="L283" s="170"/>
      <c r="M283" s="170"/>
      <c r="N283" s="170"/>
      <c r="O283" s="170"/>
      <c r="P283" s="170"/>
      <c r="Q283" s="170"/>
      <c r="R283" s="170"/>
      <c r="S283" s="170"/>
      <c r="T283" s="170"/>
      <c r="U283" s="170"/>
      <c r="V283" s="170"/>
      <c r="W283" s="170"/>
      <c r="X283" s="170"/>
      <c r="Y283" s="170"/>
      <c r="Z283" s="156"/>
    </row>
    <row r="284" ht="15.75" customHeight="1">
      <c r="A284" s="184"/>
      <c r="B284" s="184"/>
      <c r="C284" s="170"/>
      <c r="D284" s="170"/>
      <c r="E284" s="177"/>
      <c r="F284" s="170"/>
      <c r="G284" s="170"/>
      <c r="H284" s="170"/>
      <c r="I284" s="170"/>
      <c r="J284" s="170"/>
      <c r="K284" s="170"/>
      <c r="L284" s="170"/>
      <c r="M284" s="170"/>
      <c r="N284" s="170"/>
      <c r="O284" s="170"/>
      <c r="P284" s="170"/>
      <c r="Q284" s="170"/>
      <c r="R284" s="170"/>
      <c r="S284" s="170"/>
      <c r="T284" s="170"/>
      <c r="U284" s="170"/>
      <c r="V284" s="170"/>
      <c r="W284" s="170"/>
      <c r="X284" s="170"/>
      <c r="Y284" s="170"/>
      <c r="Z284" s="156"/>
    </row>
    <row r="285" ht="15.75" customHeight="1">
      <c r="A285" s="184"/>
      <c r="B285" s="184"/>
      <c r="C285" s="170"/>
      <c r="D285" s="170"/>
      <c r="E285" s="177"/>
      <c r="F285" s="170"/>
      <c r="G285" s="170"/>
      <c r="H285" s="170"/>
      <c r="I285" s="170"/>
      <c r="J285" s="170"/>
      <c r="K285" s="170"/>
      <c r="L285" s="170"/>
      <c r="M285" s="170"/>
      <c r="N285" s="170"/>
      <c r="O285" s="170"/>
      <c r="P285" s="170"/>
      <c r="Q285" s="170"/>
      <c r="R285" s="170"/>
      <c r="S285" s="170"/>
      <c r="T285" s="170"/>
      <c r="U285" s="170"/>
      <c r="V285" s="170"/>
      <c r="W285" s="170"/>
      <c r="X285" s="170"/>
      <c r="Y285" s="170"/>
      <c r="Z285" s="156"/>
    </row>
    <row r="286" ht="15.75" customHeight="1">
      <c r="A286" s="184"/>
      <c r="B286" s="184"/>
      <c r="C286" s="170"/>
      <c r="D286" s="170"/>
      <c r="E286" s="177"/>
      <c r="F286" s="170"/>
      <c r="G286" s="170"/>
      <c r="H286" s="170"/>
      <c r="I286" s="170"/>
      <c r="J286" s="170"/>
      <c r="K286" s="170"/>
      <c r="L286" s="170"/>
      <c r="M286" s="170"/>
      <c r="N286" s="170"/>
      <c r="O286" s="170"/>
      <c r="P286" s="170"/>
      <c r="Q286" s="170"/>
      <c r="R286" s="170"/>
      <c r="S286" s="170"/>
      <c r="T286" s="170"/>
      <c r="U286" s="170"/>
      <c r="V286" s="170"/>
      <c r="W286" s="170"/>
      <c r="X286" s="170"/>
      <c r="Y286" s="170"/>
      <c r="Z286" s="156"/>
    </row>
    <row r="287" ht="15.75" customHeight="1">
      <c r="A287" s="184"/>
      <c r="B287" s="184"/>
      <c r="C287" s="170"/>
      <c r="D287" s="170"/>
      <c r="E287" s="177"/>
      <c r="F287" s="170"/>
      <c r="G287" s="170"/>
      <c r="H287" s="170"/>
      <c r="I287" s="170"/>
      <c r="J287" s="170"/>
      <c r="K287" s="170"/>
      <c r="L287" s="170"/>
      <c r="M287" s="170"/>
      <c r="N287" s="170"/>
      <c r="O287" s="170"/>
      <c r="P287" s="170"/>
      <c r="Q287" s="170"/>
      <c r="R287" s="170"/>
      <c r="S287" s="170"/>
      <c r="T287" s="170"/>
      <c r="U287" s="170"/>
      <c r="V287" s="170"/>
      <c r="W287" s="170"/>
      <c r="X287" s="170"/>
      <c r="Y287" s="170"/>
      <c r="Z287" s="156"/>
    </row>
    <row r="288" ht="15.75" customHeight="1">
      <c r="A288" s="184"/>
      <c r="B288" s="184"/>
      <c r="C288" s="170"/>
      <c r="D288" s="170"/>
      <c r="E288" s="177"/>
      <c r="F288" s="170"/>
      <c r="G288" s="170"/>
      <c r="H288" s="170"/>
      <c r="I288" s="170"/>
      <c r="J288" s="170"/>
      <c r="K288" s="170"/>
      <c r="L288" s="170"/>
      <c r="M288" s="170"/>
      <c r="N288" s="170"/>
      <c r="O288" s="170"/>
      <c r="P288" s="170"/>
      <c r="Q288" s="170"/>
      <c r="R288" s="170"/>
      <c r="S288" s="170"/>
      <c r="T288" s="170"/>
      <c r="U288" s="170"/>
      <c r="V288" s="170"/>
      <c r="W288" s="170"/>
      <c r="X288" s="170"/>
      <c r="Y288" s="170"/>
      <c r="Z288" s="156"/>
    </row>
    <row r="289" ht="15.75" customHeight="1">
      <c r="A289" s="184"/>
      <c r="B289" s="184"/>
      <c r="C289" s="170"/>
      <c r="D289" s="170"/>
      <c r="E289" s="177"/>
      <c r="F289" s="170"/>
      <c r="G289" s="170"/>
      <c r="H289" s="170"/>
      <c r="I289" s="170"/>
      <c r="J289" s="170"/>
      <c r="K289" s="170"/>
      <c r="L289" s="170"/>
      <c r="M289" s="170"/>
      <c r="N289" s="170"/>
      <c r="O289" s="170"/>
      <c r="P289" s="170"/>
      <c r="Q289" s="170"/>
      <c r="R289" s="170"/>
      <c r="S289" s="170"/>
      <c r="T289" s="170"/>
      <c r="U289" s="170"/>
      <c r="V289" s="170"/>
      <c r="W289" s="170"/>
      <c r="X289" s="170"/>
      <c r="Y289" s="170"/>
      <c r="Z289" s="156"/>
    </row>
    <row r="290" ht="15.75" customHeight="1">
      <c r="A290" s="184"/>
      <c r="B290" s="184"/>
      <c r="C290" s="170"/>
      <c r="D290" s="170"/>
      <c r="E290" s="177"/>
      <c r="F290" s="170"/>
      <c r="G290" s="170"/>
      <c r="H290" s="170"/>
      <c r="I290" s="170"/>
      <c r="J290" s="170"/>
      <c r="K290" s="170"/>
      <c r="L290" s="170"/>
      <c r="M290" s="170"/>
      <c r="N290" s="170"/>
      <c r="O290" s="170"/>
      <c r="P290" s="170"/>
      <c r="Q290" s="170"/>
      <c r="R290" s="170"/>
      <c r="S290" s="170"/>
      <c r="T290" s="170"/>
      <c r="U290" s="170"/>
      <c r="V290" s="170"/>
      <c r="W290" s="170"/>
      <c r="X290" s="170"/>
      <c r="Y290" s="170"/>
      <c r="Z290" s="156"/>
    </row>
    <row r="291" ht="15.75" customHeight="1">
      <c r="A291" s="184"/>
      <c r="B291" s="184"/>
      <c r="C291" s="170"/>
      <c r="D291" s="170"/>
      <c r="E291" s="177"/>
      <c r="F291" s="170"/>
      <c r="G291" s="170"/>
      <c r="H291" s="170"/>
      <c r="I291" s="170"/>
      <c r="J291" s="170"/>
      <c r="K291" s="170"/>
      <c r="L291" s="170"/>
      <c r="M291" s="170"/>
      <c r="N291" s="170"/>
      <c r="O291" s="170"/>
      <c r="P291" s="170"/>
      <c r="Q291" s="170"/>
      <c r="R291" s="170"/>
      <c r="S291" s="170"/>
      <c r="T291" s="170"/>
      <c r="U291" s="170"/>
      <c r="V291" s="170"/>
      <c r="W291" s="170"/>
      <c r="X291" s="170"/>
      <c r="Y291" s="170"/>
      <c r="Z291" s="156"/>
    </row>
    <row r="292" ht="15.75" customHeight="1">
      <c r="A292" s="184"/>
      <c r="B292" s="184"/>
      <c r="C292" s="170"/>
      <c r="D292" s="170"/>
      <c r="E292" s="177"/>
      <c r="F292" s="170"/>
      <c r="G292" s="170"/>
      <c r="H292" s="170"/>
      <c r="I292" s="170"/>
      <c r="J292" s="170"/>
      <c r="K292" s="170"/>
      <c r="L292" s="170"/>
      <c r="M292" s="170"/>
      <c r="N292" s="170"/>
      <c r="O292" s="170"/>
      <c r="P292" s="170"/>
      <c r="Q292" s="170"/>
      <c r="R292" s="170"/>
      <c r="S292" s="170"/>
      <c r="T292" s="170"/>
      <c r="U292" s="170"/>
      <c r="V292" s="170"/>
      <c r="W292" s="170"/>
      <c r="X292" s="170"/>
      <c r="Y292" s="170"/>
      <c r="Z292" s="156"/>
    </row>
    <row r="293" ht="15.75" customHeight="1">
      <c r="A293" s="184"/>
      <c r="B293" s="184"/>
      <c r="C293" s="170"/>
      <c r="D293" s="170"/>
      <c r="E293" s="177"/>
      <c r="F293" s="170"/>
      <c r="G293" s="170"/>
      <c r="H293" s="170"/>
      <c r="I293" s="170"/>
      <c r="J293" s="170"/>
      <c r="K293" s="170"/>
      <c r="L293" s="170"/>
      <c r="M293" s="170"/>
      <c r="N293" s="170"/>
      <c r="O293" s="170"/>
      <c r="P293" s="170"/>
      <c r="Q293" s="170"/>
      <c r="R293" s="170"/>
      <c r="S293" s="170"/>
      <c r="T293" s="170"/>
      <c r="U293" s="170"/>
      <c r="V293" s="170"/>
      <c r="W293" s="170"/>
      <c r="X293" s="170"/>
      <c r="Y293" s="170"/>
      <c r="Z293" s="156"/>
    </row>
    <row r="294" ht="15.75" customHeight="1">
      <c r="A294" s="184"/>
      <c r="B294" s="184"/>
      <c r="C294" s="170"/>
      <c r="D294" s="170"/>
      <c r="E294" s="177"/>
      <c r="F294" s="170"/>
      <c r="G294" s="170"/>
      <c r="H294" s="170"/>
      <c r="I294" s="170"/>
      <c r="J294" s="170"/>
      <c r="K294" s="170"/>
      <c r="L294" s="170"/>
      <c r="M294" s="170"/>
      <c r="N294" s="170"/>
      <c r="O294" s="170"/>
      <c r="P294" s="170"/>
      <c r="Q294" s="170"/>
      <c r="R294" s="170"/>
      <c r="S294" s="170"/>
      <c r="T294" s="170"/>
      <c r="U294" s="170"/>
      <c r="V294" s="170"/>
      <c r="W294" s="170"/>
      <c r="X294" s="170"/>
      <c r="Y294" s="170"/>
      <c r="Z294" s="156"/>
    </row>
    <row r="295" ht="15.75" customHeight="1">
      <c r="A295" s="184"/>
      <c r="B295" s="184"/>
      <c r="C295" s="170"/>
      <c r="D295" s="170"/>
      <c r="E295" s="177"/>
      <c r="F295" s="170"/>
      <c r="G295" s="170"/>
      <c r="H295" s="170"/>
      <c r="I295" s="170"/>
      <c r="J295" s="170"/>
      <c r="K295" s="170"/>
      <c r="L295" s="170"/>
      <c r="M295" s="170"/>
      <c r="N295" s="170"/>
      <c r="O295" s="170"/>
      <c r="P295" s="170"/>
      <c r="Q295" s="170"/>
      <c r="R295" s="170"/>
      <c r="S295" s="170"/>
      <c r="T295" s="170"/>
      <c r="U295" s="170"/>
      <c r="V295" s="170"/>
      <c r="W295" s="170"/>
      <c r="X295" s="170"/>
      <c r="Y295" s="170"/>
      <c r="Z295" s="156"/>
    </row>
    <row r="296" ht="15.75" customHeight="1">
      <c r="A296" s="184"/>
      <c r="B296" s="184"/>
      <c r="C296" s="170"/>
      <c r="D296" s="170"/>
      <c r="E296" s="177"/>
      <c r="F296" s="170"/>
      <c r="G296" s="170"/>
      <c r="H296" s="170"/>
      <c r="I296" s="170"/>
      <c r="J296" s="170"/>
      <c r="K296" s="170"/>
      <c r="L296" s="170"/>
      <c r="M296" s="170"/>
      <c r="N296" s="170"/>
      <c r="O296" s="170"/>
      <c r="P296" s="170"/>
      <c r="Q296" s="170"/>
      <c r="R296" s="170"/>
      <c r="S296" s="170"/>
      <c r="T296" s="170"/>
      <c r="U296" s="170"/>
      <c r="V296" s="170"/>
      <c r="W296" s="170"/>
      <c r="X296" s="170"/>
      <c r="Y296" s="170"/>
      <c r="Z296" s="156"/>
    </row>
    <row r="297" ht="15.75" customHeight="1">
      <c r="A297" s="184"/>
      <c r="B297" s="184"/>
      <c r="C297" s="170"/>
      <c r="D297" s="170"/>
      <c r="E297" s="177"/>
      <c r="F297" s="170"/>
      <c r="G297" s="170"/>
      <c r="H297" s="170"/>
      <c r="I297" s="170"/>
      <c r="J297" s="170"/>
      <c r="K297" s="170"/>
      <c r="L297" s="170"/>
      <c r="M297" s="170"/>
      <c r="N297" s="170"/>
      <c r="O297" s="170"/>
      <c r="P297" s="170"/>
      <c r="Q297" s="170"/>
      <c r="R297" s="170"/>
      <c r="S297" s="170"/>
      <c r="T297" s="170"/>
      <c r="U297" s="170"/>
      <c r="V297" s="170"/>
      <c r="W297" s="170"/>
      <c r="X297" s="170"/>
      <c r="Y297" s="170"/>
      <c r="Z297" s="156"/>
    </row>
    <row r="298" ht="15.75" customHeight="1">
      <c r="A298" s="184"/>
      <c r="B298" s="184"/>
      <c r="C298" s="170"/>
      <c r="D298" s="170"/>
      <c r="E298" s="177"/>
      <c r="F298" s="170"/>
      <c r="G298" s="170"/>
      <c r="H298" s="170"/>
      <c r="I298" s="170"/>
      <c r="J298" s="170"/>
      <c r="K298" s="170"/>
      <c r="L298" s="170"/>
      <c r="M298" s="170"/>
      <c r="N298" s="170"/>
      <c r="O298" s="170"/>
      <c r="P298" s="170"/>
      <c r="Q298" s="170"/>
      <c r="R298" s="170"/>
      <c r="S298" s="170"/>
      <c r="T298" s="170"/>
      <c r="U298" s="170"/>
      <c r="V298" s="170"/>
      <c r="W298" s="170"/>
      <c r="X298" s="170"/>
      <c r="Y298" s="170"/>
      <c r="Z298" s="156"/>
    </row>
    <row r="299" ht="15.75" customHeight="1">
      <c r="A299" s="184"/>
      <c r="B299" s="184"/>
      <c r="C299" s="170"/>
      <c r="D299" s="170"/>
      <c r="E299" s="177"/>
      <c r="F299" s="170"/>
      <c r="G299" s="170"/>
      <c r="H299" s="170"/>
      <c r="I299" s="170"/>
      <c r="J299" s="170"/>
      <c r="K299" s="170"/>
      <c r="L299" s="170"/>
      <c r="M299" s="170"/>
      <c r="N299" s="170"/>
      <c r="O299" s="170"/>
      <c r="P299" s="170"/>
      <c r="Q299" s="170"/>
      <c r="R299" s="170"/>
      <c r="S299" s="170"/>
      <c r="T299" s="170"/>
      <c r="U299" s="170"/>
      <c r="V299" s="170"/>
      <c r="W299" s="170"/>
      <c r="X299" s="170"/>
      <c r="Y299" s="170"/>
      <c r="Z299" s="156"/>
    </row>
    <row r="300" ht="15.75" customHeight="1">
      <c r="A300" s="184"/>
      <c r="B300" s="184"/>
      <c r="C300" s="170"/>
      <c r="D300" s="170"/>
      <c r="E300" s="177"/>
      <c r="F300" s="170"/>
      <c r="G300" s="170"/>
      <c r="H300" s="170"/>
      <c r="I300" s="170"/>
      <c r="J300" s="170"/>
      <c r="K300" s="170"/>
      <c r="L300" s="170"/>
      <c r="M300" s="170"/>
      <c r="N300" s="170"/>
      <c r="O300" s="170"/>
      <c r="P300" s="170"/>
      <c r="Q300" s="170"/>
      <c r="R300" s="170"/>
      <c r="S300" s="170"/>
      <c r="T300" s="170"/>
      <c r="U300" s="170"/>
      <c r="V300" s="170"/>
      <c r="W300" s="170"/>
      <c r="X300" s="170"/>
      <c r="Y300" s="170"/>
      <c r="Z300" s="156"/>
    </row>
    <row r="301" ht="15.75" customHeight="1">
      <c r="A301" s="184"/>
      <c r="B301" s="184"/>
      <c r="C301" s="170"/>
      <c r="D301" s="170"/>
      <c r="E301" s="177"/>
      <c r="F301" s="170"/>
      <c r="G301" s="170"/>
      <c r="H301" s="170"/>
      <c r="I301" s="170"/>
      <c r="J301" s="170"/>
      <c r="K301" s="170"/>
      <c r="L301" s="170"/>
      <c r="M301" s="170"/>
      <c r="N301" s="170"/>
      <c r="O301" s="170"/>
      <c r="P301" s="170"/>
      <c r="Q301" s="170"/>
      <c r="R301" s="170"/>
      <c r="S301" s="170"/>
      <c r="T301" s="170"/>
      <c r="U301" s="170"/>
      <c r="V301" s="170"/>
      <c r="W301" s="170"/>
      <c r="X301" s="170"/>
      <c r="Y301" s="170"/>
      <c r="Z301" s="156"/>
    </row>
    <row r="302" ht="15.75" customHeight="1">
      <c r="A302" s="184"/>
      <c r="B302" s="184"/>
      <c r="C302" s="170"/>
      <c r="D302" s="170"/>
      <c r="E302" s="177"/>
      <c r="F302" s="170"/>
      <c r="G302" s="170"/>
      <c r="H302" s="170"/>
      <c r="I302" s="170"/>
      <c r="J302" s="170"/>
      <c r="K302" s="170"/>
      <c r="L302" s="170"/>
      <c r="M302" s="170"/>
      <c r="N302" s="170"/>
      <c r="O302" s="170"/>
      <c r="P302" s="170"/>
      <c r="Q302" s="170"/>
      <c r="R302" s="170"/>
      <c r="S302" s="170"/>
      <c r="T302" s="170"/>
      <c r="U302" s="170"/>
      <c r="V302" s="170"/>
      <c r="W302" s="170"/>
      <c r="X302" s="170"/>
      <c r="Y302" s="170"/>
      <c r="Z302" s="156"/>
    </row>
    <row r="303" ht="15.75" customHeight="1">
      <c r="A303" s="184"/>
      <c r="B303" s="184"/>
      <c r="C303" s="170"/>
      <c r="D303" s="170"/>
      <c r="E303" s="177"/>
      <c r="F303" s="170"/>
      <c r="G303" s="170"/>
      <c r="H303" s="170"/>
      <c r="I303" s="170"/>
      <c r="J303" s="170"/>
      <c r="K303" s="170"/>
      <c r="L303" s="170"/>
      <c r="M303" s="170"/>
      <c r="N303" s="170"/>
      <c r="O303" s="170"/>
      <c r="P303" s="170"/>
      <c r="Q303" s="170"/>
      <c r="R303" s="170"/>
      <c r="S303" s="170"/>
      <c r="T303" s="170"/>
      <c r="U303" s="170"/>
      <c r="V303" s="170"/>
      <c r="W303" s="170"/>
      <c r="X303" s="170"/>
      <c r="Y303" s="170"/>
      <c r="Z303" s="156"/>
    </row>
    <row r="304" ht="15.75" customHeight="1">
      <c r="A304" s="184"/>
      <c r="B304" s="184"/>
      <c r="C304" s="170"/>
      <c r="D304" s="170"/>
      <c r="E304" s="177"/>
      <c r="F304" s="170"/>
      <c r="G304" s="170"/>
      <c r="H304" s="170"/>
      <c r="I304" s="170"/>
      <c r="J304" s="170"/>
      <c r="K304" s="170"/>
      <c r="L304" s="170"/>
      <c r="M304" s="170"/>
      <c r="N304" s="170"/>
      <c r="O304" s="170"/>
      <c r="P304" s="170"/>
      <c r="Q304" s="170"/>
      <c r="R304" s="170"/>
      <c r="S304" s="170"/>
      <c r="T304" s="170"/>
      <c r="U304" s="170"/>
      <c r="V304" s="170"/>
      <c r="W304" s="170"/>
      <c r="X304" s="170"/>
      <c r="Y304" s="170"/>
      <c r="Z304" s="156"/>
    </row>
    <row r="305" ht="15.75" customHeight="1">
      <c r="A305" s="184"/>
      <c r="B305" s="184"/>
      <c r="C305" s="170"/>
      <c r="D305" s="170"/>
      <c r="E305" s="177"/>
      <c r="F305" s="170"/>
      <c r="G305" s="170"/>
      <c r="H305" s="170"/>
      <c r="I305" s="170"/>
      <c r="J305" s="170"/>
      <c r="K305" s="170"/>
      <c r="L305" s="170"/>
      <c r="M305" s="170"/>
      <c r="N305" s="170"/>
      <c r="O305" s="170"/>
      <c r="P305" s="170"/>
      <c r="Q305" s="170"/>
      <c r="R305" s="170"/>
      <c r="S305" s="170"/>
      <c r="T305" s="170"/>
      <c r="U305" s="170"/>
      <c r="V305" s="170"/>
      <c r="W305" s="170"/>
      <c r="X305" s="170"/>
      <c r="Y305" s="170"/>
      <c r="Z305" s="156"/>
    </row>
    <row r="306" ht="15.75" customHeight="1">
      <c r="A306" s="184"/>
      <c r="B306" s="184"/>
      <c r="C306" s="170"/>
      <c r="D306" s="170"/>
      <c r="E306" s="177"/>
      <c r="F306" s="170"/>
      <c r="G306" s="170"/>
      <c r="H306" s="170"/>
      <c r="I306" s="170"/>
      <c r="J306" s="170"/>
      <c r="K306" s="170"/>
      <c r="L306" s="170"/>
      <c r="M306" s="170"/>
      <c r="N306" s="170"/>
      <c r="O306" s="170"/>
      <c r="P306" s="170"/>
      <c r="Q306" s="170"/>
      <c r="R306" s="170"/>
      <c r="S306" s="170"/>
      <c r="T306" s="170"/>
      <c r="U306" s="170"/>
      <c r="V306" s="170"/>
      <c r="W306" s="170"/>
      <c r="X306" s="170"/>
      <c r="Y306" s="170"/>
      <c r="Z306" s="156"/>
    </row>
    <row r="307" ht="15.75" customHeight="1">
      <c r="A307" s="184"/>
      <c r="B307" s="184"/>
      <c r="C307" s="170"/>
      <c r="D307" s="170"/>
      <c r="E307" s="177"/>
      <c r="F307" s="170"/>
      <c r="G307" s="170"/>
      <c r="H307" s="170"/>
      <c r="I307" s="170"/>
      <c r="J307" s="170"/>
      <c r="K307" s="170"/>
      <c r="L307" s="170"/>
      <c r="M307" s="170"/>
      <c r="N307" s="170"/>
      <c r="O307" s="170"/>
      <c r="P307" s="170"/>
      <c r="Q307" s="170"/>
      <c r="R307" s="170"/>
      <c r="S307" s="170"/>
      <c r="T307" s="170"/>
      <c r="U307" s="170"/>
      <c r="V307" s="170"/>
      <c r="W307" s="170"/>
      <c r="X307" s="170"/>
      <c r="Y307" s="170"/>
      <c r="Z307" s="156"/>
    </row>
    <row r="308" ht="15.75" customHeight="1">
      <c r="A308" s="184"/>
      <c r="B308" s="184"/>
      <c r="C308" s="170"/>
      <c r="D308" s="170"/>
      <c r="E308" s="177"/>
      <c r="F308" s="170"/>
      <c r="G308" s="170"/>
      <c r="H308" s="170"/>
      <c r="I308" s="170"/>
      <c r="J308" s="170"/>
      <c r="K308" s="170"/>
      <c r="L308" s="170"/>
      <c r="M308" s="170"/>
      <c r="N308" s="170"/>
      <c r="O308" s="170"/>
      <c r="P308" s="170"/>
      <c r="Q308" s="170"/>
      <c r="R308" s="170"/>
      <c r="S308" s="170"/>
      <c r="T308" s="170"/>
      <c r="U308" s="170"/>
      <c r="V308" s="170"/>
      <c r="W308" s="170"/>
      <c r="X308" s="170"/>
      <c r="Y308" s="170"/>
      <c r="Z308" s="156"/>
    </row>
    <row r="309" ht="15.75" customHeight="1">
      <c r="A309" s="184"/>
      <c r="B309" s="184"/>
      <c r="C309" s="170"/>
      <c r="D309" s="170"/>
      <c r="E309" s="177"/>
      <c r="F309" s="170"/>
      <c r="G309" s="170"/>
      <c r="H309" s="170"/>
      <c r="I309" s="170"/>
      <c r="J309" s="170"/>
      <c r="K309" s="170"/>
      <c r="L309" s="170"/>
      <c r="M309" s="170"/>
      <c r="N309" s="170"/>
      <c r="O309" s="170"/>
      <c r="P309" s="170"/>
      <c r="Q309" s="170"/>
      <c r="R309" s="170"/>
      <c r="S309" s="170"/>
      <c r="T309" s="170"/>
      <c r="U309" s="170"/>
      <c r="V309" s="170"/>
      <c r="W309" s="170"/>
      <c r="X309" s="170"/>
      <c r="Y309" s="170"/>
      <c r="Z309" s="156"/>
    </row>
    <row r="310" ht="15.75" customHeight="1">
      <c r="A310" s="184"/>
      <c r="B310" s="184"/>
      <c r="C310" s="170"/>
      <c r="D310" s="170"/>
      <c r="E310" s="177"/>
      <c r="F310" s="170"/>
      <c r="G310" s="170"/>
      <c r="H310" s="170"/>
      <c r="I310" s="170"/>
      <c r="J310" s="170"/>
      <c r="K310" s="170"/>
      <c r="L310" s="170"/>
      <c r="M310" s="170"/>
      <c r="N310" s="170"/>
      <c r="O310" s="170"/>
      <c r="P310" s="170"/>
      <c r="Q310" s="170"/>
      <c r="R310" s="170"/>
      <c r="S310" s="170"/>
      <c r="T310" s="170"/>
      <c r="U310" s="170"/>
      <c r="V310" s="170"/>
      <c r="W310" s="170"/>
      <c r="X310" s="170"/>
      <c r="Y310" s="170"/>
      <c r="Z310" s="156"/>
    </row>
    <row r="311" ht="15.75" customHeight="1">
      <c r="A311" s="184"/>
      <c r="B311" s="184"/>
      <c r="C311" s="170"/>
      <c r="D311" s="170"/>
      <c r="E311" s="177"/>
      <c r="F311" s="170"/>
      <c r="G311" s="170"/>
      <c r="H311" s="170"/>
      <c r="I311" s="170"/>
      <c r="J311" s="170"/>
      <c r="K311" s="170"/>
      <c r="L311" s="170"/>
      <c r="M311" s="170"/>
      <c r="N311" s="170"/>
      <c r="O311" s="170"/>
      <c r="P311" s="170"/>
      <c r="Q311" s="170"/>
      <c r="R311" s="170"/>
      <c r="S311" s="170"/>
      <c r="T311" s="170"/>
      <c r="U311" s="170"/>
      <c r="V311" s="170"/>
      <c r="W311" s="170"/>
      <c r="X311" s="170"/>
      <c r="Y311" s="170"/>
      <c r="Z311" s="156"/>
    </row>
    <row r="312" ht="15.75" customHeight="1">
      <c r="A312" s="184"/>
      <c r="B312" s="184"/>
      <c r="C312" s="170"/>
      <c r="D312" s="170"/>
      <c r="E312" s="177"/>
      <c r="F312" s="170"/>
      <c r="G312" s="170"/>
      <c r="H312" s="170"/>
      <c r="I312" s="170"/>
      <c r="J312" s="170"/>
      <c r="K312" s="170"/>
      <c r="L312" s="170"/>
      <c r="M312" s="170"/>
      <c r="N312" s="170"/>
      <c r="O312" s="170"/>
      <c r="P312" s="170"/>
      <c r="Q312" s="170"/>
      <c r="R312" s="170"/>
      <c r="S312" s="170"/>
      <c r="T312" s="170"/>
      <c r="U312" s="170"/>
      <c r="V312" s="170"/>
      <c r="W312" s="170"/>
      <c r="X312" s="170"/>
      <c r="Y312" s="170"/>
      <c r="Z312" s="156"/>
    </row>
    <row r="313" ht="15.75" customHeight="1">
      <c r="A313" s="184"/>
      <c r="B313" s="184"/>
      <c r="C313" s="170"/>
      <c r="D313" s="170"/>
      <c r="E313" s="177"/>
      <c r="F313" s="170"/>
      <c r="G313" s="170"/>
      <c r="H313" s="170"/>
      <c r="I313" s="170"/>
      <c r="J313" s="170"/>
      <c r="K313" s="170"/>
      <c r="L313" s="170"/>
      <c r="M313" s="170"/>
      <c r="N313" s="170"/>
      <c r="O313" s="170"/>
      <c r="P313" s="170"/>
      <c r="Q313" s="170"/>
      <c r="R313" s="170"/>
      <c r="S313" s="170"/>
      <c r="T313" s="170"/>
      <c r="U313" s="170"/>
      <c r="V313" s="170"/>
      <c r="W313" s="170"/>
      <c r="X313" s="170"/>
      <c r="Y313" s="170"/>
      <c r="Z313" s="156"/>
    </row>
    <row r="314" ht="15.75" customHeight="1">
      <c r="A314" s="184"/>
      <c r="B314" s="184"/>
      <c r="C314" s="170"/>
      <c r="D314" s="170"/>
      <c r="E314" s="177"/>
      <c r="F314" s="170"/>
      <c r="G314" s="170"/>
      <c r="H314" s="170"/>
      <c r="I314" s="170"/>
      <c r="J314" s="170"/>
      <c r="K314" s="170"/>
      <c r="L314" s="170"/>
      <c r="M314" s="170"/>
      <c r="N314" s="170"/>
      <c r="O314" s="170"/>
      <c r="P314" s="170"/>
      <c r="Q314" s="170"/>
      <c r="R314" s="170"/>
      <c r="S314" s="170"/>
      <c r="T314" s="170"/>
      <c r="U314" s="170"/>
      <c r="V314" s="170"/>
      <c r="W314" s="170"/>
      <c r="X314" s="170"/>
      <c r="Y314" s="170"/>
      <c r="Z314" s="156"/>
    </row>
    <row r="315" ht="15.75" customHeight="1">
      <c r="A315" s="184"/>
      <c r="B315" s="184"/>
      <c r="C315" s="170"/>
      <c r="D315" s="170"/>
      <c r="E315" s="177"/>
      <c r="F315" s="170"/>
      <c r="G315" s="170"/>
      <c r="H315" s="170"/>
      <c r="I315" s="170"/>
      <c r="J315" s="170"/>
      <c r="K315" s="170"/>
      <c r="L315" s="170"/>
      <c r="M315" s="170"/>
      <c r="N315" s="170"/>
      <c r="O315" s="170"/>
      <c r="P315" s="170"/>
      <c r="Q315" s="170"/>
      <c r="R315" s="170"/>
      <c r="S315" s="170"/>
      <c r="T315" s="170"/>
      <c r="U315" s="170"/>
      <c r="V315" s="170"/>
      <c r="W315" s="170"/>
      <c r="X315" s="170"/>
      <c r="Y315" s="170"/>
      <c r="Z315" s="156"/>
    </row>
    <row r="316" ht="15.75" customHeight="1">
      <c r="A316" s="184"/>
      <c r="B316" s="184"/>
      <c r="C316" s="170"/>
      <c r="D316" s="170"/>
      <c r="E316" s="177"/>
      <c r="F316" s="170"/>
      <c r="G316" s="170"/>
      <c r="H316" s="170"/>
      <c r="I316" s="170"/>
      <c r="J316" s="170"/>
      <c r="K316" s="170"/>
      <c r="L316" s="170"/>
      <c r="M316" s="170"/>
      <c r="N316" s="170"/>
      <c r="O316" s="170"/>
      <c r="P316" s="170"/>
      <c r="Q316" s="170"/>
      <c r="R316" s="170"/>
      <c r="S316" s="170"/>
      <c r="T316" s="170"/>
      <c r="U316" s="170"/>
      <c r="V316" s="170"/>
      <c r="W316" s="170"/>
      <c r="X316" s="170"/>
      <c r="Y316" s="170"/>
      <c r="Z316" s="156"/>
    </row>
    <row r="317" ht="15.75" customHeight="1">
      <c r="A317" s="184"/>
      <c r="B317" s="184"/>
      <c r="C317" s="170"/>
      <c r="D317" s="170"/>
      <c r="E317" s="177"/>
      <c r="F317" s="170"/>
      <c r="G317" s="170"/>
      <c r="H317" s="170"/>
      <c r="I317" s="170"/>
      <c r="J317" s="170"/>
      <c r="K317" s="170"/>
      <c r="L317" s="170"/>
      <c r="M317" s="170"/>
      <c r="N317" s="170"/>
      <c r="O317" s="170"/>
      <c r="P317" s="170"/>
      <c r="Q317" s="170"/>
      <c r="R317" s="170"/>
      <c r="S317" s="170"/>
      <c r="T317" s="170"/>
      <c r="U317" s="170"/>
      <c r="V317" s="170"/>
      <c r="W317" s="170"/>
      <c r="X317" s="170"/>
      <c r="Y317" s="170"/>
      <c r="Z317" s="156"/>
    </row>
    <row r="318" ht="15.75" customHeight="1">
      <c r="A318" s="184"/>
      <c r="B318" s="184"/>
      <c r="C318" s="170"/>
      <c r="D318" s="170"/>
      <c r="E318" s="177"/>
      <c r="F318" s="170"/>
      <c r="G318" s="170"/>
      <c r="H318" s="170"/>
      <c r="I318" s="170"/>
      <c r="J318" s="170"/>
      <c r="K318" s="170"/>
      <c r="L318" s="170"/>
      <c r="M318" s="170"/>
      <c r="N318" s="170"/>
      <c r="O318" s="170"/>
      <c r="P318" s="170"/>
      <c r="Q318" s="170"/>
      <c r="R318" s="170"/>
      <c r="S318" s="170"/>
      <c r="T318" s="170"/>
      <c r="U318" s="170"/>
      <c r="V318" s="170"/>
      <c r="W318" s="170"/>
      <c r="X318" s="170"/>
      <c r="Y318" s="170"/>
      <c r="Z318" s="156"/>
    </row>
    <row r="319" ht="15.75" customHeight="1">
      <c r="A319" s="184"/>
      <c r="B319" s="184"/>
      <c r="C319" s="170"/>
      <c r="D319" s="170"/>
      <c r="E319" s="177"/>
      <c r="F319" s="170"/>
      <c r="G319" s="170"/>
      <c r="H319" s="170"/>
      <c r="I319" s="170"/>
      <c r="J319" s="170"/>
      <c r="K319" s="170"/>
      <c r="L319" s="170"/>
      <c r="M319" s="170"/>
      <c r="N319" s="170"/>
      <c r="O319" s="170"/>
      <c r="P319" s="170"/>
      <c r="Q319" s="170"/>
      <c r="R319" s="170"/>
      <c r="S319" s="170"/>
      <c r="T319" s="170"/>
      <c r="U319" s="170"/>
      <c r="V319" s="170"/>
      <c r="W319" s="170"/>
      <c r="X319" s="170"/>
      <c r="Y319" s="170"/>
      <c r="Z319" s="156"/>
    </row>
    <row r="320" ht="15.75" customHeight="1">
      <c r="A320" s="184"/>
      <c r="B320" s="184"/>
      <c r="C320" s="170"/>
      <c r="D320" s="170"/>
      <c r="E320" s="177"/>
      <c r="F320" s="170"/>
      <c r="G320" s="170"/>
      <c r="H320" s="170"/>
      <c r="I320" s="170"/>
      <c r="J320" s="170"/>
      <c r="K320" s="170"/>
      <c r="L320" s="170"/>
      <c r="M320" s="170"/>
      <c r="N320" s="170"/>
      <c r="O320" s="170"/>
      <c r="P320" s="170"/>
      <c r="Q320" s="170"/>
      <c r="R320" s="170"/>
      <c r="S320" s="170"/>
      <c r="T320" s="170"/>
      <c r="U320" s="170"/>
      <c r="V320" s="170"/>
      <c r="W320" s="170"/>
      <c r="X320" s="170"/>
      <c r="Y320" s="170"/>
      <c r="Z320" s="156"/>
    </row>
    <row r="321" ht="15.75" customHeight="1">
      <c r="A321" s="156"/>
      <c r="B321" s="156"/>
      <c r="C321" s="156"/>
      <c r="D321" s="156"/>
      <c r="E321" s="19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ht="15.75" customHeight="1">
      <c r="A322" s="156"/>
      <c r="B322" s="156"/>
      <c r="C322" s="156"/>
      <c r="D322" s="156"/>
      <c r="E322" s="19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ht="15.75" customHeight="1">
      <c r="A323" s="156"/>
      <c r="B323" s="156"/>
      <c r="C323" s="156"/>
      <c r="D323" s="156"/>
      <c r="E323" s="19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ht="15.75" customHeight="1">
      <c r="A324" s="156"/>
      <c r="B324" s="156"/>
      <c r="C324" s="156"/>
      <c r="D324" s="156"/>
      <c r="E324" s="19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ht="15.75" customHeight="1">
      <c r="A325" s="156"/>
      <c r="B325" s="156"/>
      <c r="C325" s="156"/>
      <c r="D325" s="156"/>
      <c r="E325" s="19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ht="15.75" customHeight="1">
      <c r="A326" s="156"/>
      <c r="B326" s="156"/>
      <c r="C326" s="156"/>
      <c r="D326" s="156"/>
      <c r="E326" s="19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ht="15.75" customHeight="1">
      <c r="A327" s="156"/>
      <c r="B327" s="156"/>
      <c r="C327" s="156"/>
      <c r="D327" s="156"/>
      <c r="E327" s="19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ht="15.75" customHeight="1">
      <c r="A328" s="156"/>
      <c r="B328" s="156"/>
      <c r="C328" s="156"/>
      <c r="D328" s="156"/>
      <c r="E328" s="19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ht="15.75" customHeight="1">
      <c r="A329" s="156"/>
      <c r="B329" s="156"/>
      <c r="C329" s="156"/>
      <c r="D329" s="156"/>
      <c r="E329" s="19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ht="15.75" customHeight="1">
      <c r="A330" s="156"/>
      <c r="B330" s="156"/>
      <c r="C330" s="156"/>
      <c r="D330" s="156"/>
      <c r="E330" s="19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ht="15.75" customHeight="1">
      <c r="A331" s="156"/>
      <c r="B331" s="156"/>
      <c r="C331" s="156"/>
      <c r="D331" s="156"/>
      <c r="E331" s="19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ht="15.75" customHeight="1">
      <c r="A332" s="156"/>
      <c r="B332" s="156"/>
      <c r="C332" s="156"/>
      <c r="D332" s="156"/>
      <c r="E332" s="19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ht="15.75" customHeight="1">
      <c r="A333" s="156"/>
      <c r="B333" s="156"/>
      <c r="C333" s="156"/>
      <c r="D333" s="156"/>
      <c r="E333" s="19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ht="15.75" customHeight="1">
      <c r="A334" s="156"/>
      <c r="B334" s="156"/>
      <c r="C334" s="156"/>
      <c r="D334" s="156"/>
      <c r="E334" s="19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ht="15.75" customHeight="1">
      <c r="A335" s="156"/>
      <c r="B335" s="156"/>
      <c r="C335" s="156"/>
      <c r="D335" s="156"/>
      <c r="E335" s="19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ht="15.75" customHeight="1">
      <c r="A336" s="156"/>
      <c r="B336" s="156"/>
      <c r="C336" s="156"/>
      <c r="D336" s="156"/>
      <c r="E336" s="19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ht="15.75" customHeight="1">
      <c r="A337" s="156"/>
      <c r="B337" s="156"/>
      <c r="C337" s="156"/>
      <c r="D337" s="156"/>
      <c r="E337" s="19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ht="15.75" customHeight="1">
      <c r="A338" s="156"/>
      <c r="B338" s="156"/>
      <c r="C338" s="156"/>
      <c r="D338" s="156"/>
      <c r="E338" s="19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ht="15.75" customHeight="1">
      <c r="A339" s="156"/>
      <c r="B339" s="156"/>
      <c r="C339" s="156"/>
      <c r="D339" s="156"/>
      <c r="E339" s="19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ht="15.75" customHeight="1">
      <c r="A340" s="156"/>
      <c r="B340" s="156"/>
      <c r="C340" s="156"/>
      <c r="D340" s="156"/>
      <c r="E340" s="19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ht="15.75" customHeight="1">
      <c r="A341" s="156"/>
      <c r="B341" s="156"/>
      <c r="C341" s="156"/>
      <c r="D341" s="156"/>
      <c r="E341" s="19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ht="15.75" customHeight="1">
      <c r="A342" s="156"/>
      <c r="B342" s="156"/>
      <c r="C342" s="156"/>
      <c r="D342" s="156"/>
      <c r="E342" s="19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ht="15.75" customHeight="1">
      <c r="A343" s="156"/>
      <c r="B343" s="156"/>
      <c r="C343" s="156"/>
      <c r="D343" s="156"/>
      <c r="E343" s="19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ht="15.75" customHeight="1">
      <c r="A344" s="156"/>
      <c r="B344" s="156"/>
      <c r="C344" s="156"/>
      <c r="D344" s="156"/>
      <c r="E344" s="19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ht="15.75" customHeight="1">
      <c r="A345" s="156"/>
      <c r="B345" s="156"/>
      <c r="C345" s="156"/>
      <c r="D345" s="156"/>
      <c r="E345" s="19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ht="15.75" customHeight="1">
      <c r="A346" s="156"/>
      <c r="B346" s="156"/>
      <c r="C346" s="156"/>
      <c r="D346" s="156"/>
      <c r="E346" s="19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ht="15.75" customHeight="1">
      <c r="A347" s="156"/>
      <c r="B347" s="156"/>
      <c r="C347" s="156"/>
      <c r="D347" s="156"/>
      <c r="E347" s="19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ht="15.75" customHeight="1">
      <c r="A348" s="156"/>
      <c r="B348" s="156"/>
      <c r="C348" s="156"/>
      <c r="D348" s="156"/>
      <c r="E348" s="19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ht="15.75" customHeight="1">
      <c r="A349" s="156"/>
      <c r="B349" s="156"/>
      <c r="C349" s="156"/>
      <c r="D349" s="156"/>
      <c r="E349" s="19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ht="15.75" customHeight="1">
      <c r="A350" s="156"/>
      <c r="B350" s="156"/>
      <c r="C350" s="156"/>
      <c r="D350" s="156"/>
      <c r="E350" s="19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ht="15.75" customHeight="1">
      <c r="A351" s="156"/>
      <c r="B351" s="156"/>
      <c r="C351" s="156"/>
      <c r="D351" s="156"/>
      <c r="E351" s="19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ht="15.75" customHeight="1">
      <c r="A352" s="156"/>
      <c r="B352" s="156"/>
      <c r="C352" s="156"/>
      <c r="D352" s="156"/>
      <c r="E352" s="19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ht="15.75" customHeight="1">
      <c r="A353" s="156"/>
      <c r="B353" s="156"/>
      <c r="C353" s="156"/>
      <c r="D353" s="156"/>
      <c r="E353" s="19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ht="15.75" customHeight="1">
      <c r="A354" s="156"/>
      <c r="B354" s="156"/>
      <c r="C354" s="156"/>
      <c r="D354" s="156"/>
      <c r="E354" s="19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ht="15.75" customHeight="1">
      <c r="A355" s="156"/>
      <c r="B355" s="156"/>
      <c r="C355" s="156"/>
      <c r="D355" s="156"/>
      <c r="E355" s="19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ht="15.75" customHeight="1">
      <c r="A356" s="156"/>
      <c r="B356" s="156"/>
      <c r="C356" s="156"/>
      <c r="D356" s="156"/>
      <c r="E356" s="19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ht="15.75" customHeight="1">
      <c r="A357" s="156"/>
      <c r="B357" s="156"/>
      <c r="C357" s="156"/>
      <c r="D357" s="156"/>
      <c r="E357" s="19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ht="15.75" customHeight="1">
      <c r="A358" s="156"/>
      <c r="B358" s="156"/>
      <c r="C358" s="156"/>
      <c r="D358" s="156"/>
      <c r="E358" s="19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ht="15.75" customHeight="1">
      <c r="A359" s="156"/>
      <c r="B359" s="156"/>
      <c r="C359" s="156"/>
      <c r="D359" s="156"/>
      <c r="E359" s="19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ht="15.75" customHeight="1">
      <c r="A360" s="156"/>
      <c r="B360" s="156"/>
      <c r="C360" s="156"/>
      <c r="D360" s="156"/>
      <c r="E360" s="19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ht="15.75" customHeight="1">
      <c r="A361" s="156"/>
      <c r="B361" s="156"/>
      <c r="C361" s="156"/>
      <c r="D361" s="156"/>
      <c r="E361" s="19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ht="15.75" customHeight="1">
      <c r="A362" s="156"/>
      <c r="B362" s="156"/>
      <c r="C362" s="156"/>
      <c r="D362" s="156"/>
      <c r="E362" s="19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ht="15.75" customHeight="1">
      <c r="A363" s="156"/>
      <c r="B363" s="156"/>
      <c r="C363" s="156"/>
      <c r="D363" s="156"/>
      <c r="E363" s="19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ht="15.75" customHeight="1">
      <c r="A364" s="156"/>
      <c r="B364" s="156"/>
      <c r="C364" s="156"/>
      <c r="D364" s="156"/>
      <c r="E364" s="19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ht="15.75" customHeight="1">
      <c r="A365" s="156"/>
      <c r="B365" s="156"/>
      <c r="C365" s="156"/>
      <c r="D365" s="156"/>
      <c r="E365" s="19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ht="15.75" customHeight="1">
      <c r="A366" s="156"/>
      <c r="B366" s="156"/>
      <c r="C366" s="156"/>
      <c r="D366" s="156"/>
      <c r="E366" s="19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ht="15.75" customHeight="1">
      <c r="A367" s="156"/>
      <c r="B367" s="156"/>
      <c r="C367" s="156"/>
      <c r="D367" s="156"/>
      <c r="E367" s="19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ht="15.75" customHeight="1">
      <c r="A368" s="156"/>
      <c r="B368" s="156"/>
      <c r="C368" s="156"/>
      <c r="D368" s="156"/>
      <c r="E368" s="19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ht="15.75" customHeight="1">
      <c r="A369" s="156"/>
      <c r="B369" s="156"/>
      <c r="C369" s="156"/>
      <c r="D369" s="156"/>
      <c r="E369" s="19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ht="15.75" customHeight="1">
      <c r="A370" s="156"/>
      <c r="B370" s="156"/>
      <c r="C370" s="156"/>
      <c r="D370" s="156"/>
      <c r="E370" s="19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ht="15.75" customHeight="1">
      <c r="A371" s="156"/>
      <c r="B371" s="156"/>
      <c r="C371" s="156"/>
      <c r="D371" s="156"/>
      <c r="E371" s="19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ht="15.75" customHeight="1">
      <c r="A372" s="156"/>
      <c r="B372" s="156"/>
      <c r="C372" s="156"/>
      <c r="D372" s="156"/>
      <c r="E372" s="19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ht="15.75" customHeight="1">
      <c r="A373" s="156"/>
      <c r="B373" s="156"/>
      <c r="C373" s="156"/>
      <c r="D373" s="156"/>
      <c r="E373" s="19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ht="15.75" customHeight="1">
      <c r="A374" s="156"/>
      <c r="B374" s="156"/>
      <c r="C374" s="156"/>
      <c r="D374" s="156"/>
      <c r="E374" s="19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ht="15.75" customHeight="1">
      <c r="A375" s="156"/>
      <c r="B375" s="156"/>
      <c r="C375" s="156"/>
      <c r="D375" s="156"/>
      <c r="E375" s="19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ht="15.75" customHeight="1">
      <c r="A376" s="156"/>
      <c r="B376" s="156"/>
      <c r="C376" s="156"/>
      <c r="D376" s="156"/>
      <c r="E376" s="19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ht="15.75" customHeight="1">
      <c r="A377" s="156"/>
      <c r="B377" s="156"/>
      <c r="C377" s="156"/>
      <c r="D377" s="156"/>
      <c r="E377" s="19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ht="15.75" customHeight="1">
      <c r="A378" s="156"/>
      <c r="B378" s="156"/>
      <c r="C378" s="156"/>
      <c r="D378" s="156"/>
      <c r="E378" s="19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ht="15.75" customHeight="1">
      <c r="A379" s="156"/>
      <c r="B379" s="156"/>
      <c r="C379" s="156"/>
      <c r="D379" s="156"/>
      <c r="E379" s="19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ht="15.75" customHeight="1">
      <c r="A380" s="156"/>
      <c r="B380" s="156"/>
      <c r="C380" s="156"/>
      <c r="D380" s="156"/>
      <c r="E380" s="19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ht="15.75" customHeight="1">
      <c r="A381" s="156"/>
      <c r="B381" s="156"/>
      <c r="C381" s="156"/>
      <c r="D381" s="156"/>
      <c r="E381" s="19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ht="15.75" customHeight="1">
      <c r="A382" s="156"/>
      <c r="B382" s="156"/>
      <c r="C382" s="156"/>
      <c r="D382" s="156"/>
      <c r="E382" s="19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ht="15.75" customHeight="1">
      <c r="A383" s="156"/>
      <c r="B383" s="156"/>
      <c r="C383" s="156"/>
      <c r="D383" s="156"/>
      <c r="E383" s="19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ht="15.75" customHeight="1">
      <c r="A384" s="156"/>
      <c r="B384" s="156"/>
      <c r="C384" s="156"/>
      <c r="D384" s="156"/>
      <c r="E384" s="19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ht="15.75" customHeight="1">
      <c r="A385" s="156"/>
      <c r="B385" s="156"/>
      <c r="C385" s="156"/>
      <c r="D385" s="156"/>
      <c r="E385" s="19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ht="15.75" customHeight="1">
      <c r="A386" s="156"/>
      <c r="B386" s="156"/>
      <c r="C386" s="156"/>
      <c r="D386" s="156"/>
      <c r="E386" s="19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ht="15.75" customHeight="1">
      <c r="A387" s="156"/>
      <c r="B387" s="156"/>
      <c r="C387" s="156"/>
      <c r="D387" s="156"/>
      <c r="E387" s="19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ht="15.75" customHeight="1">
      <c r="A388" s="156"/>
      <c r="B388" s="156"/>
      <c r="C388" s="156"/>
      <c r="D388" s="156"/>
      <c r="E388" s="19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ht="15.75" customHeight="1">
      <c r="A389" s="156"/>
      <c r="B389" s="156"/>
      <c r="C389" s="156"/>
      <c r="D389" s="156"/>
      <c r="E389" s="19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ht="15.75" customHeight="1">
      <c r="A390" s="156"/>
      <c r="B390" s="156"/>
      <c r="C390" s="156"/>
      <c r="D390" s="156"/>
      <c r="E390" s="19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ht="15.75" customHeight="1">
      <c r="A391" s="156"/>
      <c r="B391" s="156"/>
      <c r="C391" s="156"/>
      <c r="D391" s="156"/>
      <c r="E391" s="19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ht="15.75" customHeight="1">
      <c r="A392" s="156"/>
      <c r="B392" s="156"/>
      <c r="C392" s="156"/>
      <c r="D392" s="156"/>
      <c r="E392" s="19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ht="15.75" customHeight="1">
      <c r="A393" s="156"/>
      <c r="B393" s="156"/>
      <c r="C393" s="156"/>
      <c r="D393" s="156"/>
      <c r="E393" s="19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ht="15.75" customHeight="1">
      <c r="A394" s="156"/>
      <c r="B394" s="156"/>
      <c r="C394" s="156"/>
      <c r="D394" s="156"/>
      <c r="E394" s="19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ht="15.75" customHeight="1">
      <c r="A395" s="156"/>
      <c r="B395" s="156"/>
      <c r="C395" s="156"/>
      <c r="D395" s="156"/>
      <c r="E395" s="19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ht="15.75" customHeight="1">
      <c r="A396" s="156"/>
      <c r="B396" s="156"/>
      <c r="C396" s="156"/>
      <c r="D396" s="156"/>
      <c r="E396" s="19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ht="15.75" customHeight="1">
      <c r="A397" s="156"/>
      <c r="B397" s="156"/>
      <c r="C397" s="156"/>
      <c r="D397" s="156"/>
      <c r="E397" s="19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ht="15.75" customHeight="1">
      <c r="A398" s="156"/>
      <c r="B398" s="156"/>
      <c r="C398" s="156"/>
      <c r="D398" s="156"/>
      <c r="E398" s="19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ht="15.75" customHeight="1">
      <c r="A399" s="156"/>
      <c r="B399" s="156"/>
      <c r="C399" s="156"/>
      <c r="D399" s="156"/>
      <c r="E399" s="19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ht="15.75" customHeight="1">
      <c r="A400" s="156"/>
      <c r="B400" s="156"/>
      <c r="C400" s="156"/>
      <c r="D400" s="156"/>
      <c r="E400" s="19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ht="15.75" customHeight="1">
      <c r="A401" s="156"/>
      <c r="B401" s="156"/>
      <c r="C401" s="156"/>
      <c r="D401" s="156"/>
      <c r="E401" s="19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ht="15.75" customHeight="1">
      <c r="A402" s="156"/>
      <c r="B402" s="156"/>
      <c r="C402" s="156"/>
      <c r="D402" s="156"/>
      <c r="E402" s="19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ht="15.75" customHeight="1">
      <c r="A403" s="156"/>
      <c r="B403" s="156"/>
      <c r="C403" s="156"/>
      <c r="D403" s="156"/>
      <c r="E403" s="19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ht="15.75" customHeight="1">
      <c r="A404" s="156"/>
      <c r="B404" s="156"/>
      <c r="C404" s="156"/>
      <c r="D404" s="156"/>
      <c r="E404" s="19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ht="15.75" customHeight="1">
      <c r="A405" s="156"/>
      <c r="B405" s="156"/>
      <c r="C405" s="156"/>
      <c r="D405" s="156"/>
      <c r="E405" s="19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ht="15.75" customHeight="1">
      <c r="A406" s="156"/>
      <c r="B406" s="156"/>
      <c r="C406" s="156"/>
      <c r="D406" s="156"/>
      <c r="E406" s="19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ht="15.75" customHeight="1">
      <c r="A407" s="156"/>
      <c r="B407" s="156"/>
      <c r="C407" s="156"/>
      <c r="D407" s="156"/>
      <c r="E407" s="19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ht="15.75" customHeight="1">
      <c r="A408" s="156"/>
      <c r="B408" s="156"/>
      <c r="C408" s="156"/>
      <c r="D408" s="156"/>
      <c r="E408" s="19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ht="15.75" customHeight="1">
      <c r="A409" s="156"/>
      <c r="B409" s="156"/>
      <c r="C409" s="156"/>
      <c r="D409" s="156"/>
      <c r="E409" s="19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ht="15.75" customHeight="1">
      <c r="A410" s="156"/>
      <c r="B410" s="156"/>
      <c r="C410" s="156"/>
      <c r="D410" s="156"/>
      <c r="E410" s="19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ht="15.75" customHeight="1">
      <c r="A411" s="156"/>
      <c r="B411" s="156"/>
      <c r="C411" s="156"/>
      <c r="D411" s="156"/>
      <c r="E411" s="19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ht="15.75" customHeight="1">
      <c r="A412" s="156"/>
      <c r="B412" s="156"/>
      <c r="C412" s="156"/>
      <c r="D412" s="156"/>
      <c r="E412" s="19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ht="15.75" customHeight="1">
      <c r="A413" s="156"/>
      <c r="B413" s="156"/>
      <c r="C413" s="156"/>
      <c r="D413" s="156"/>
      <c r="E413" s="19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ht="15.75" customHeight="1">
      <c r="A414" s="156"/>
      <c r="B414" s="156"/>
      <c r="C414" s="156"/>
      <c r="D414" s="156"/>
      <c r="E414" s="19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ht="15.75" customHeight="1">
      <c r="A415" s="156"/>
      <c r="B415" s="156"/>
      <c r="C415" s="156"/>
      <c r="D415" s="156"/>
      <c r="E415" s="19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ht="15.75" customHeight="1">
      <c r="A416" s="156"/>
      <c r="B416" s="156"/>
      <c r="C416" s="156"/>
      <c r="D416" s="156"/>
      <c r="E416" s="19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ht="15.75" customHeight="1">
      <c r="A417" s="156"/>
      <c r="B417" s="156"/>
      <c r="C417" s="156"/>
      <c r="D417" s="156"/>
      <c r="E417" s="19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ht="15.75" customHeight="1">
      <c r="A418" s="156"/>
      <c r="B418" s="156"/>
      <c r="C418" s="156"/>
      <c r="D418" s="156"/>
      <c r="E418" s="19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ht="15.75" customHeight="1">
      <c r="A419" s="156"/>
      <c r="B419" s="156"/>
      <c r="C419" s="156"/>
      <c r="D419" s="156"/>
      <c r="E419" s="19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ht="15.75" customHeight="1">
      <c r="A420" s="156"/>
      <c r="B420" s="156"/>
      <c r="C420" s="156"/>
      <c r="D420" s="156"/>
      <c r="E420" s="19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ht="15.75" customHeight="1">
      <c r="A421" s="156"/>
      <c r="B421" s="156"/>
      <c r="C421" s="156"/>
      <c r="D421" s="156"/>
      <c r="E421" s="19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ht="15.75" customHeight="1">
      <c r="A422" s="156"/>
      <c r="B422" s="156"/>
      <c r="C422" s="156"/>
      <c r="D422" s="156"/>
      <c r="E422" s="19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ht="15.75" customHeight="1">
      <c r="A423" s="156"/>
      <c r="B423" s="156"/>
      <c r="C423" s="156"/>
      <c r="D423" s="156"/>
      <c r="E423" s="19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ht="15.75" customHeight="1">
      <c r="A424" s="156"/>
      <c r="B424" s="156"/>
      <c r="C424" s="156"/>
      <c r="D424" s="156"/>
      <c r="E424" s="19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ht="15.75" customHeight="1">
      <c r="A425" s="156"/>
      <c r="B425" s="156"/>
      <c r="C425" s="156"/>
      <c r="D425" s="156"/>
      <c r="E425" s="19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ht="15.75" customHeight="1">
      <c r="A426" s="156"/>
      <c r="B426" s="156"/>
      <c r="C426" s="156"/>
      <c r="D426" s="156"/>
      <c r="E426" s="19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ht="15.75" customHeight="1">
      <c r="A427" s="156"/>
      <c r="B427" s="156"/>
      <c r="C427" s="156"/>
      <c r="D427" s="156"/>
      <c r="E427" s="19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ht="15.75" customHeight="1">
      <c r="A428" s="156"/>
      <c r="B428" s="156"/>
      <c r="C428" s="156"/>
      <c r="D428" s="156"/>
      <c r="E428" s="19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ht="15.75" customHeight="1">
      <c r="A429" s="156"/>
      <c r="B429" s="156"/>
      <c r="C429" s="156"/>
      <c r="D429" s="156"/>
      <c r="E429" s="19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ht="15.75" customHeight="1">
      <c r="A430" s="156"/>
      <c r="B430" s="156"/>
      <c r="C430" s="156"/>
      <c r="D430" s="156"/>
      <c r="E430" s="19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ht="15.75" customHeight="1">
      <c r="A431" s="156"/>
      <c r="B431" s="156"/>
      <c r="C431" s="156"/>
      <c r="D431" s="156"/>
      <c r="E431" s="19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ht="15.75" customHeight="1">
      <c r="A432" s="156"/>
      <c r="B432" s="156"/>
      <c r="C432" s="156"/>
      <c r="D432" s="156"/>
      <c r="E432" s="19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ht="15.75" customHeight="1">
      <c r="A433" s="156"/>
      <c r="B433" s="156"/>
      <c r="C433" s="156"/>
      <c r="D433" s="156"/>
      <c r="E433" s="19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ht="15.75" customHeight="1">
      <c r="A434" s="156"/>
      <c r="B434" s="156"/>
      <c r="C434" s="156"/>
      <c r="D434" s="156"/>
      <c r="E434" s="19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ht="15.75" customHeight="1">
      <c r="A435" s="156"/>
      <c r="B435" s="156"/>
      <c r="C435" s="156"/>
      <c r="D435" s="156"/>
      <c r="E435" s="19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ht="15.75" customHeight="1">
      <c r="A436" s="156"/>
      <c r="B436" s="156"/>
      <c r="C436" s="156"/>
      <c r="D436" s="156"/>
      <c r="E436" s="19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ht="15.75" customHeight="1">
      <c r="A437" s="156"/>
      <c r="B437" s="156"/>
      <c r="C437" s="156"/>
      <c r="D437" s="156"/>
      <c r="E437" s="19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ht="15.75" customHeight="1">
      <c r="A438" s="156"/>
      <c r="B438" s="156"/>
      <c r="C438" s="156"/>
      <c r="D438" s="156"/>
      <c r="E438" s="19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ht="15.75" customHeight="1">
      <c r="A439" s="156"/>
      <c r="B439" s="156"/>
      <c r="C439" s="156"/>
      <c r="D439" s="156"/>
      <c r="E439" s="19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ht="15.75" customHeight="1">
      <c r="A440" s="156"/>
      <c r="B440" s="156"/>
      <c r="C440" s="156"/>
      <c r="D440" s="156"/>
      <c r="E440" s="19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ht="15.75" customHeight="1">
      <c r="A441" s="156"/>
      <c r="B441" s="156"/>
      <c r="C441" s="156"/>
      <c r="D441" s="156"/>
      <c r="E441" s="19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ht="15.75" customHeight="1">
      <c r="A442" s="156"/>
      <c r="B442" s="156"/>
      <c r="C442" s="156"/>
      <c r="D442" s="156"/>
      <c r="E442" s="19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ht="15.75" customHeight="1">
      <c r="A443" s="156"/>
      <c r="B443" s="156"/>
      <c r="C443" s="156"/>
      <c r="D443" s="156"/>
      <c r="E443" s="19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ht="15.75" customHeight="1">
      <c r="A444" s="156"/>
      <c r="B444" s="156"/>
      <c r="C444" s="156"/>
      <c r="D444" s="156"/>
      <c r="E444" s="19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ht="15.75" customHeight="1">
      <c r="A445" s="156"/>
      <c r="B445" s="156"/>
      <c r="C445" s="156"/>
      <c r="D445" s="156"/>
      <c r="E445" s="19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ht="15.75" customHeight="1">
      <c r="A446" s="156"/>
      <c r="B446" s="156"/>
      <c r="C446" s="156"/>
      <c r="D446" s="156"/>
      <c r="E446" s="19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ht="15.75" customHeight="1">
      <c r="A447" s="156"/>
      <c r="B447" s="156"/>
      <c r="C447" s="156"/>
      <c r="D447" s="156"/>
      <c r="E447" s="19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ht="15.75" customHeight="1">
      <c r="A448" s="156"/>
      <c r="B448" s="156"/>
      <c r="C448" s="156"/>
      <c r="D448" s="156"/>
      <c r="E448" s="19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ht="15.75" customHeight="1">
      <c r="A449" s="156"/>
      <c r="B449" s="156"/>
      <c r="C449" s="156"/>
      <c r="D449" s="156"/>
      <c r="E449" s="19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ht="15.75" customHeight="1">
      <c r="A450" s="156"/>
      <c r="B450" s="156"/>
      <c r="C450" s="156"/>
      <c r="D450" s="156"/>
      <c r="E450" s="19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ht="15.75" customHeight="1">
      <c r="A451" s="156"/>
      <c r="B451" s="156"/>
      <c r="C451" s="156"/>
      <c r="D451" s="156"/>
      <c r="E451" s="19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ht="15.75" customHeight="1">
      <c r="A452" s="156"/>
      <c r="B452" s="156"/>
      <c r="C452" s="156"/>
      <c r="D452" s="156"/>
      <c r="E452" s="19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ht="15.75" customHeight="1">
      <c r="A453" s="156"/>
      <c r="B453" s="156"/>
      <c r="C453" s="156"/>
      <c r="D453" s="156"/>
      <c r="E453" s="19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ht="15.75" customHeight="1">
      <c r="A454" s="156"/>
      <c r="B454" s="156"/>
      <c r="C454" s="156"/>
      <c r="D454" s="156"/>
      <c r="E454" s="19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ht="15.75" customHeight="1">
      <c r="A455" s="156"/>
      <c r="B455" s="156"/>
      <c r="C455" s="156"/>
      <c r="D455" s="156"/>
      <c r="E455" s="19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ht="15.75" customHeight="1">
      <c r="A456" s="156"/>
      <c r="B456" s="156"/>
      <c r="C456" s="156"/>
      <c r="D456" s="156"/>
      <c r="E456" s="19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ht="15.75" customHeight="1">
      <c r="A457" s="156"/>
      <c r="B457" s="156"/>
      <c r="C457" s="156"/>
      <c r="D457" s="156"/>
      <c r="E457" s="19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ht="15.75" customHeight="1">
      <c r="A458" s="156"/>
      <c r="B458" s="156"/>
      <c r="C458" s="156"/>
      <c r="D458" s="156"/>
      <c r="E458" s="19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ht="15.75" customHeight="1">
      <c r="A459" s="156"/>
      <c r="B459" s="156"/>
      <c r="C459" s="156"/>
      <c r="D459" s="156"/>
      <c r="E459" s="19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ht="15.75" customHeight="1">
      <c r="A460" s="156"/>
      <c r="B460" s="156"/>
      <c r="C460" s="156"/>
      <c r="D460" s="156"/>
      <c r="E460" s="19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ht="15.75" customHeight="1">
      <c r="A461" s="156"/>
      <c r="B461" s="156"/>
      <c r="C461" s="156"/>
      <c r="D461" s="156"/>
      <c r="E461" s="19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ht="15.75" customHeight="1">
      <c r="A462" s="156"/>
      <c r="B462" s="156"/>
      <c r="C462" s="156"/>
      <c r="D462" s="156"/>
      <c r="E462" s="19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ht="15.75" customHeight="1">
      <c r="A463" s="156"/>
      <c r="B463" s="156"/>
      <c r="C463" s="156"/>
      <c r="D463" s="156"/>
      <c r="E463" s="19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ht="15.75" customHeight="1">
      <c r="A464" s="156"/>
      <c r="B464" s="156"/>
      <c r="C464" s="156"/>
      <c r="D464" s="156"/>
      <c r="E464" s="19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ht="15.75" customHeight="1">
      <c r="A465" s="156"/>
      <c r="B465" s="156"/>
      <c r="C465" s="156"/>
      <c r="D465" s="156"/>
      <c r="E465" s="19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ht="15.75" customHeight="1">
      <c r="A466" s="156"/>
      <c r="B466" s="156"/>
      <c r="C466" s="156"/>
      <c r="D466" s="156"/>
      <c r="E466" s="19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ht="15.75" customHeight="1">
      <c r="A467" s="156"/>
      <c r="B467" s="156"/>
      <c r="C467" s="156"/>
      <c r="D467" s="156"/>
      <c r="E467" s="19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ht="15.75" customHeight="1">
      <c r="A468" s="156"/>
      <c r="B468" s="156"/>
      <c r="C468" s="156"/>
      <c r="D468" s="156"/>
      <c r="E468" s="19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ht="15.75" customHeight="1">
      <c r="A469" s="156"/>
      <c r="B469" s="156"/>
      <c r="C469" s="156"/>
      <c r="D469" s="156"/>
      <c r="E469" s="19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ht="15.75" customHeight="1">
      <c r="A470" s="156"/>
      <c r="B470" s="156"/>
      <c r="C470" s="156"/>
      <c r="D470" s="156"/>
      <c r="E470" s="19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ht="15.75" customHeight="1">
      <c r="A471" s="156"/>
      <c r="B471" s="156"/>
      <c r="C471" s="156"/>
      <c r="D471" s="156"/>
      <c r="E471" s="19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ht="15.75" customHeight="1">
      <c r="A472" s="156"/>
      <c r="B472" s="156"/>
      <c r="C472" s="156"/>
      <c r="D472" s="156"/>
      <c r="E472" s="19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ht="15.75" customHeight="1">
      <c r="A473" s="156"/>
      <c r="B473" s="156"/>
      <c r="C473" s="156"/>
      <c r="D473" s="156"/>
      <c r="E473" s="19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ht="15.75" customHeight="1">
      <c r="A474" s="156"/>
      <c r="B474" s="156"/>
      <c r="C474" s="156"/>
      <c r="D474" s="156"/>
      <c r="E474" s="19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ht="15.75" customHeight="1">
      <c r="A475" s="156"/>
      <c r="B475" s="156"/>
      <c r="C475" s="156"/>
      <c r="D475" s="156"/>
      <c r="E475" s="19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ht="15.75" customHeight="1">
      <c r="A476" s="156"/>
      <c r="B476" s="156"/>
      <c r="C476" s="156"/>
      <c r="D476" s="156"/>
      <c r="E476" s="19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ht="15.75" customHeight="1">
      <c r="A477" s="156"/>
      <c r="B477" s="156"/>
      <c r="C477" s="156"/>
      <c r="D477" s="156"/>
      <c r="E477" s="19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ht="15.75" customHeight="1">
      <c r="A478" s="156"/>
      <c r="B478" s="156"/>
      <c r="C478" s="156"/>
      <c r="D478" s="156"/>
      <c r="E478" s="19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ht="15.75" customHeight="1">
      <c r="A479" s="156"/>
      <c r="B479" s="156"/>
      <c r="C479" s="156"/>
      <c r="D479" s="156"/>
      <c r="E479" s="19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ht="15.75" customHeight="1">
      <c r="A480" s="156"/>
      <c r="B480" s="156"/>
      <c r="C480" s="156"/>
      <c r="D480" s="156"/>
      <c r="E480" s="19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ht="15.75" customHeight="1">
      <c r="A481" s="156"/>
      <c r="B481" s="156"/>
      <c r="C481" s="156"/>
      <c r="D481" s="156"/>
      <c r="E481" s="19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ht="15.75" customHeight="1">
      <c r="A482" s="156"/>
      <c r="B482" s="156"/>
      <c r="C482" s="156"/>
      <c r="D482" s="156"/>
      <c r="E482" s="19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ht="15.75" customHeight="1">
      <c r="A483" s="156"/>
      <c r="B483" s="156"/>
      <c r="C483" s="156"/>
      <c r="D483" s="156"/>
      <c r="E483" s="19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ht="15.75" customHeight="1">
      <c r="A484" s="156"/>
      <c r="B484" s="156"/>
      <c r="C484" s="156"/>
      <c r="D484" s="156"/>
      <c r="E484" s="19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ht="15.75" customHeight="1">
      <c r="A485" s="156"/>
      <c r="B485" s="156"/>
      <c r="C485" s="156"/>
      <c r="D485" s="156"/>
      <c r="E485" s="19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ht="15.75" customHeight="1">
      <c r="A486" s="156"/>
      <c r="B486" s="156"/>
      <c r="C486" s="156"/>
      <c r="D486" s="156"/>
      <c r="E486" s="19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ht="15.75" customHeight="1">
      <c r="A487" s="156"/>
      <c r="B487" s="156"/>
      <c r="C487" s="156"/>
      <c r="D487" s="156"/>
      <c r="E487" s="19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ht="15.75" customHeight="1">
      <c r="A488" s="156"/>
      <c r="B488" s="156"/>
      <c r="C488" s="156"/>
      <c r="D488" s="156"/>
      <c r="E488" s="19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ht="15.75" customHeight="1">
      <c r="A489" s="156"/>
      <c r="B489" s="156"/>
      <c r="C489" s="156"/>
      <c r="D489" s="156"/>
      <c r="E489" s="19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ht="15.75" customHeight="1">
      <c r="A490" s="156"/>
      <c r="B490" s="156"/>
      <c r="C490" s="156"/>
      <c r="D490" s="156"/>
      <c r="E490" s="19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ht="15.75" customHeight="1">
      <c r="A491" s="156"/>
      <c r="B491" s="156"/>
      <c r="C491" s="156"/>
      <c r="D491" s="156"/>
      <c r="E491" s="19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ht="15.75" customHeight="1">
      <c r="A492" s="156"/>
      <c r="B492" s="156"/>
      <c r="C492" s="156"/>
      <c r="D492" s="156"/>
      <c r="E492" s="19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ht="15.75" customHeight="1">
      <c r="A493" s="156"/>
      <c r="B493" s="156"/>
      <c r="C493" s="156"/>
      <c r="D493" s="156"/>
      <c r="E493" s="19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ht="15.75" customHeight="1">
      <c r="A494" s="156"/>
      <c r="B494" s="156"/>
      <c r="C494" s="156"/>
      <c r="D494" s="156"/>
      <c r="E494" s="19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ht="15.75" customHeight="1">
      <c r="A495" s="156"/>
      <c r="B495" s="156"/>
      <c r="C495" s="156"/>
      <c r="D495" s="156"/>
      <c r="E495" s="19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ht="15.75" customHeight="1">
      <c r="A496" s="156"/>
      <c r="B496" s="156"/>
      <c r="C496" s="156"/>
      <c r="D496" s="156"/>
      <c r="E496" s="19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ht="15.75" customHeight="1">
      <c r="A497" s="156"/>
      <c r="B497" s="156"/>
      <c r="C497" s="156"/>
      <c r="D497" s="156"/>
      <c r="E497" s="19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ht="15.75" customHeight="1">
      <c r="A498" s="156"/>
      <c r="B498" s="156"/>
      <c r="C498" s="156"/>
      <c r="D498" s="156"/>
      <c r="E498" s="19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ht="15.75" customHeight="1">
      <c r="A499" s="156"/>
      <c r="B499" s="156"/>
      <c r="C499" s="156"/>
      <c r="D499" s="156"/>
      <c r="E499" s="19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ht="15.75" customHeight="1">
      <c r="A500" s="156"/>
      <c r="B500" s="156"/>
      <c r="C500" s="156"/>
      <c r="D500" s="156"/>
      <c r="E500" s="19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ht="15.75" customHeight="1">
      <c r="A501" s="156"/>
      <c r="B501" s="156"/>
      <c r="C501" s="156"/>
      <c r="D501" s="156"/>
      <c r="E501" s="19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ht="15.75" customHeight="1">
      <c r="A502" s="156"/>
      <c r="B502" s="156"/>
      <c r="C502" s="156"/>
      <c r="D502" s="156"/>
      <c r="E502" s="19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ht="15.75" customHeight="1">
      <c r="A503" s="156"/>
      <c r="B503" s="156"/>
      <c r="C503" s="156"/>
      <c r="D503" s="156"/>
      <c r="E503" s="19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ht="15.75" customHeight="1">
      <c r="A504" s="156"/>
      <c r="B504" s="156"/>
      <c r="C504" s="156"/>
      <c r="D504" s="156"/>
      <c r="E504" s="19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ht="15.75" customHeight="1">
      <c r="A505" s="156"/>
      <c r="B505" s="156"/>
      <c r="C505" s="156"/>
      <c r="D505" s="156"/>
      <c r="E505" s="19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ht="15.75" customHeight="1">
      <c r="A506" s="156"/>
      <c r="B506" s="156"/>
      <c r="C506" s="156"/>
      <c r="D506" s="156"/>
      <c r="E506" s="19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ht="15.75" customHeight="1">
      <c r="A507" s="156"/>
      <c r="B507" s="156"/>
      <c r="C507" s="156"/>
      <c r="D507" s="156"/>
      <c r="E507" s="19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ht="15.75" customHeight="1">
      <c r="A508" s="156"/>
      <c r="B508" s="156"/>
      <c r="C508" s="156"/>
      <c r="D508" s="156"/>
      <c r="E508" s="19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ht="15.75" customHeight="1">
      <c r="A509" s="156"/>
      <c r="B509" s="156"/>
      <c r="C509" s="156"/>
      <c r="D509" s="156"/>
      <c r="E509" s="19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ht="15.75" customHeight="1">
      <c r="A510" s="156"/>
      <c r="B510" s="156"/>
      <c r="C510" s="156"/>
      <c r="D510" s="156"/>
      <c r="E510" s="19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ht="15.75" customHeight="1">
      <c r="A511" s="156"/>
      <c r="B511" s="156"/>
      <c r="C511" s="156"/>
      <c r="D511" s="156"/>
      <c r="E511" s="19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ht="15.75" customHeight="1">
      <c r="A512" s="156"/>
      <c r="B512" s="156"/>
      <c r="C512" s="156"/>
      <c r="D512" s="156"/>
      <c r="E512" s="19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ht="15.75" customHeight="1">
      <c r="A513" s="156"/>
      <c r="B513" s="156"/>
      <c r="C513" s="156"/>
      <c r="D513" s="156"/>
      <c r="E513" s="19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ht="15.75" customHeight="1">
      <c r="A514" s="156"/>
      <c r="B514" s="156"/>
      <c r="C514" s="156"/>
      <c r="D514" s="156"/>
      <c r="E514" s="19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ht="15.75" customHeight="1">
      <c r="A515" s="156"/>
      <c r="B515" s="156"/>
      <c r="C515" s="156"/>
      <c r="D515" s="156"/>
      <c r="E515" s="19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ht="15.75" customHeight="1">
      <c r="A516" s="156"/>
      <c r="B516" s="156"/>
      <c r="C516" s="156"/>
      <c r="D516" s="156"/>
      <c r="E516" s="19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ht="15.75" customHeight="1">
      <c r="A517" s="156"/>
      <c r="B517" s="156"/>
      <c r="C517" s="156"/>
      <c r="D517" s="156"/>
      <c r="E517" s="19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ht="15.75" customHeight="1">
      <c r="A518" s="156"/>
      <c r="B518" s="156"/>
      <c r="C518" s="156"/>
      <c r="D518" s="156"/>
      <c r="E518" s="19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ht="15.75" customHeight="1">
      <c r="A519" s="156"/>
      <c r="B519" s="156"/>
      <c r="C519" s="156"/>
      <c r="D519" s="156"/>
      <c r="E519" s="19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ht="15.75" customHeight="1">
      <c r="A520" s="156"/>
      <c r="B520" s="156"/>
      <c r="C520" s="156"/>
      <c r="D520" s="156"/>
      <c r="E520" s="19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ht="15.75" customHeight="1">
      <c r="A521" s="156"/>
      <c r="B521" s="156"/>
      <c r="C521" s="156"/>
      <c r="D521" s="156"/>
      <c r="E521" s="19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ht="15.75" customHeight="1">
      <c r="A522" s="156"/>
      <c r="B522" s="156"/>
      <c r="C522" s="156"/>
      <c r="D522" s="156"/>
      <c r="E522" s="19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ht="15.75" customHeight="1">
      <c r="A523" s="156"/>
      <c r="B523" s="156"/>
      <c r="C523" s="156"/>
      <c r="D523" s="156"/>
      <c r="E523" s="19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ht="15.75" customHeight="1">
      <c r="A524" s="156"/>
      <c r="B524" s="156"/>
      <c r="C524" s="156"/>
      <c r="D524" s="156"/>
      <c r="E524" s="19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ht="15.75" customHeight="1">
      <c r="A525" s="156"/>
      <c r="B525" s="156"/>
      <c r="C525" s="156"/>
      <c r="D525" s="156"/>
      <c r="E525" s="19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ht="15.75" customHeight="1">
      <c r="A526" s="156"/>
      <c r="B526" s="156"/>
      <c r="C526" s="156"/>
      <c r="D526" s="156"/>
      <c r="E526" s="19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ht="15.75" customHeight="1">
      <c r="A527" s="156"/>
      <c r="B527" s="156"/>
      <c r="C527" s="156"/>
      <c r="D527" s="156"/>
      <c r="E527" s="19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ht="15.75" customHeight="1">
      <c r="A528" s="156"/>
      <c r="B528" s="156"/>
      <c r="C528" s="156"/>
      <c r="D528" s="156"/>
      <c r="E528" s="19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ht="15.75" customHeight="1">
      <c r="A529" s="156"/>
      <c r="B529" s="156"/>
      <c r="C529" s="156"/>
      <c r="D529" s="156"/>
      <c r="E529" s="19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ht="15.75" customHeight="1">
      <c r="A530" s="156"/>
      <c r="B530" s="156"/>
      <c r="C530" s="156"/>
      <c r="D530" s="156"/>
      <c r="E530" s="19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ht="15.75" customHeight="1">
      <c r="A531" s="156"/>
      <c r="B531" s="156"/>
      <c r="C531" s="156"/>
      <c r="D531" s="156"/>
      <c r="E531" s="19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ht="15.75" customHeight="1">
      <c r="A532" s="156"/>
      <c r="B532" s="156"/>
      <c r="C532" s="156"/>
      <c r="D532" s="156"/>
      <c r="E532" s="19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ht="15.75" customHeight="1">
      <c r="A533" s="156"/>
      <c r="B533" s="156"/>
      <c r="C533" s="156"/>
      <c r="D533" s="156"/>
      <c r="E533" s="19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ht="15.75" customHeight="1">
      <c r="A534" s="156"/>
      <c r="B534" s="156"/>
      <c r="C534" s="156"/>
      <c r="D534" s="156"/>
      <c r="E534" s="19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ht="15.75" customHeight="1">
      <c r="A535" s="156"/>
      <c r="B535" s="156"/>
      <c r="C535" s="156"/>
      <c r="D535" s="156"/>
      <c r="E535" s="19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ht="15.75" customHeight="1">
      <c r="A536" s="156"/>
      <c r="B536" s="156"/>
      <c r="C536" s="156"/>
      <c r="D536" s="156"/>
      <c r="E536" s="19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ht="15.75" customHeight="1">
      <c r="A537" s="156"/>
      <c r="B537" s="156"/>
      <c r="C537" s="156"/>
      <c r="D537" s="156"/>
      <c r="E537" s="19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ht="15.75" customHeight="1">
      <c r="A538" s="156"/>
      <c r="B538" s="156"/>
      <c r="C538" s="156"/>
      <c r="D538" s="156"/>
      <c r="E538" s="19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ht="15.75" customHeight="1">
      <c r="A539" s="156"/>
      <c r="B539" s="156"/>
      <c r="C539" s="156"/>
      <c r="D539" s="156"/>
      <c r="E539" s="19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ht="15.75" customHeight="1">
      <c r="A540" s="156"/>
      <c r="B540" s="156"/>
      <c r="C540" s="156"/>
      <c r="D540" s="156"/>
      <c r="E540" s="19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ht="15.75" customHeight="1">
      <c r="A541" s="156"/>
      <c r="B541" s="156"/>
      <c r="C541" s="156"/>
      <c r="D541" s="156"/>
      <c r="E541" s="19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ht="15.75" customHeight="1">
      <c r="A542" s="156"/>
      <c r="B542" s="156"/>
      <c r="C542" s="156"/>
      <c r="D542" s="156"/>
      <c r="E542" s="19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ht="15.75" customHeight="1">
      <c r="A543" s="156"/>
      <c r="B543" s="156"/>
      <c r="C543" s="156"/>
      <c r="D543" s="156"/>
      <c r="E543" s="19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ht="15.75" customHeight="1">
      <c r="A544" s="156"/>
      <c r="B544" s="156"/>
      <c r="C544" s="156"/>
      <c r="D544" s="156"/>
      <c r="E544" s="19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ht="15.75" customHeight="1">
      <c r="A545" s="156"/>
      <c r="B545" s="156"/>
      <c r="C545" s="156"/>
      <c r="D545" s="156"/>
      <c r="E545" s="19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ht="15.75" customHeight="1">
      <c r="A546" s="156"/>
      <c r="B546" s="156"/>
      <c r="C546" s="156"/>
      <c r="D546" s="156"/>
      <c r="E546" s="19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ht="15.75" customHeight="1">
      <c r="A547" s="156"/>
      <c r="B547" s="156"/>
      <c r="C547" s="156"/>
      <c r="D547" s="156"/>
      <c r="E547" s="19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ht="15.75" customHeight="1">
      <c r="A548" s="156"/>
      <c r="B548" s="156"/>
      <c r="C548" s="156"/>
      <c r="D548" s="156"/>
      <c r="E548" s="19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ht="15.75" customHeight="1">
      <c r="A549" s="156"/>
      <c r="B549" s="156"/>
      <c r="C549" s="156"/>
      <c r="D549" s="156"/>
      <c r="E549" s="19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ht="15.75" customHeight="1">
      <c r="A550" s="156"/>
      <c r="B550" s="156"/>
      <c r="C550" s="156"/>
      <c r="D550" s="156"/>
      <c r="E550" s="19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ht="15.75" customHeight="1">
      <c r="A551" s="156"/>
      <c r="B551" s="156"/>
      <c r="C551" s="156"/>
      <c r="D551" s="156"/>
      <c r="E551" s="19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ht="15.75" customHeight="1">
      <c r="A552" s="156"/>
      <c r="B552" s="156"/>
      <c r="C552" s="156"/>
      <c r="D552" s="156"/>
      <c r="E552" s="19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ht="15.75" customHeight="1">
      <c r="A553" s="156"/>
      <c r="B553" s="156"/>
      <c r="C553" s="156"/>
      <c r="D553" s="156"/>
      <c r="E553" s="19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ht="15.75" customHeight="1">
      <c r="A554" s="156"/>
      <c r="B554" s="156"/>
      <c r="C554" s="156"/>
      <c r="D554" s="156"/>
      <c r="E554" s="19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ht="15.75" customHeight="1">
      <c r="A555" s="156"/>
      <c r="B555" s="156"/>
      <c r="C555" s="156"/>
      <c r="D555" s="156"/>
      <c r="E555" s="19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ht="15.75" customHeight="1">
      <c r="A556" s="156"/>
      <c r="B556" s="156"/>
      <c r="C556" s="156"/>
      <c r="D556" s="156"/>
      <c r="E556" s="19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ht="15.75" customHeight="1">
      <c r="A557" s="156"/>
      <c r="B557" s="156"/>
      <c r="C557" s="156"/>
      <c r="D557" s="156"/>
      <c r="E557" s="19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ht="15.75" customHeight="1">
      <c r="A558" s="156"/>
      <c r="B558" s="156"/>
      <c r="C558" s="156"/>
      <c r="D558" s="156"/>
      <c r="E558" s="19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ht="15.75" customHeight="1">
      <c r="A559" s="156"/>
      <c r="B559" s="156"/>
      <c r="C559" s="156"/>
      <c r="D559" s="156"/>
      <c r="E559" s="19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ht="15.75" customHeight="1">
      <c r="A560" s="156"/>
      <c r="B560" s="156"/>
      <c r="C560" s="156"/>
      <c r="D560" s="156"/>
      <c r="E560" s="19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ht="15.75" customHeight="1">
      <c r="A561" s="156"/>
      <c r="B561" s="156"/>
      <c r="C561" s="156"/>
      <c r="D561" s="156"/>
      <c r="E561" s="19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ht="15.75" customHeight="1">
      <c r="A562" s="156"/>
      <c r="B562" s="156"/>
      <c r="C562" s="156"/>
      <c r="D562" s="156"/>
      <c r="E562" s="19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ht="15.75" customHeight="1">
      <c r="A563" s="156"/>
      <c r="B563" s="156"/>
      <c r="C563" s="156"/>
      <c r="D563" s="156"/>
      <c r="E563" s="19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ht="15.75" customHeight="1">
      <c r="A564" s="156"/>
      <c r="B564" s="156"/>
      <c r="C564" s="156"/>
      <c r="D564" s="156"/>
      <c r="E564" s="19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ht="15.75" customHeight="1">
      <c r="A565" s="156"/>
      <c r="B565" s="156"/>
      <c r="C565" s="156"/>
      <c r="D565" s="156"/>
      <c r="E565" s="19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ht="15.75" customHeight="1">
      <c r="A566" s="156"/>
      <c r="B566" s="156"/>
      <c r="C566" s="156"/>
      <c r="D566" s="156"/>
      <c r="E566" s="19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ht="15.75" customHeight="1">
      <c r="A567" s="156"/>
      <c r="B567" s="156"/>
      <c r="C567" s="156"/>
      <c r="D567" s="156"/>
      <c r="E567" s="19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ht="15.75" customHeight="1">
      <c r="A568" s="156"/>
      <c r="B568" s="156"/>
      <c r="C568" s="156"/>
      <c r="D568" s="156"/>
      <c r="E568" s="19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ht="15.75" customHeight="1">
      <c r="A569" s="156"/>
      <c r="B569" s="156"/>
      <c r="C569" s="156"/>
      <c r="D569" s="156"/>
      <c r="E569" s="19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ht="15.75" customHeight="1">
      <c r="A570" s="156"/>
      <c r="B570" s="156"/>
      <c r="C570" s="156"/>
      <c r="D570" s="156"/>
      <c r="E570" s="19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ht="15.75" customHeight="1">
      <c r="A571" s="156"/>
      <c r="B571" s="156"/>
      <c r="C571" s="156"/>
      <c r="D571" s="156"/>
      <c r="E571" s="19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ht="15.75" customHeight="1">
      <c r="A572" s="156"/>
      <c r="B572" s="156"/>
      <c r="C572" s="156"/>
      <c r="D572" s="156"/>
      <c r="E572" s="19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ht="15.75" customHeight="1">
      <c r="A573" s="156"/>
      <c r="B573" s="156"/>
      <c r="C573" s="156"/>
      <c r="D573" s="156"/>
      <c r="E573" s="19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ht="15.75" customHeight="1">
      <c r="A574" s="156"/>
      <c r="B574" s="156"/>
      <c r="C574" s="156"/>
      <c r="D574" s="156"/>
      <c r="E574" s="19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ht="15.75" customHeight="1">
      <c r="A575" s="156"/>
      <c r="B575" s="156"/>
      <c r="C575" s="156"/>
      <c r="D575" s="156"/>
      <c r="E575" s="19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ht="15.75" customHeight="1">
      <c r="A576" s="156"/>
      <c r="B576" s="156"/>
      <c r="C576" s="156"/>
      <c r="D576" s="156"/>
      <c r="E576" s="19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ht="15.75" customHeight="1">
      <c r="A577" s="156"/>
      <c r="B577" s="156"/>
      <c r="C577" s="156"/>
      <c r="D577" s="156"/>
      <c r="E577" s="19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ht="15.75" customHeight="1">
      <c r="A578" s="156"/>
      <c r="B578" s="156"/>
      <c r="C578" s="156"/>
      <c r="D578" s="156"/>
      <c r="E578" s="19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ht="15.75" customHeight="1">
      <c r="A579" s="156"/>
      <c r="B579" s="156"/>
      <c r="C579" s="156"/>
      <c r="D579" s="156"/>
      <c r="E579" s="19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ht="15.75" customHeight="1">
      <c r="A580" s="156"/>
      <c r="B580" s="156"/>
      <c r="C580" s="156"/>
      <c r="D580" s="156"/>
      <c r="E580" s="19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ht="15.75" customHeight="1">
      <c r="A581" s="156"/>
      <c r="B581" s="156"/>
      <c r="C581" s="156"/>
      <c r="D581" s="156"/>
      <c r="E581" s="19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ht="15.75" customHeight="1">
      <c r="A582" s="156"/>
      <c r="B582" s="156"/>
      <c r="C582" s="156"/>
      <c r="D582" s="156"/>
      <c r="E582" s="19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ht="15.75" customHeight="1">
      <c r="A583" s="156"/>
      <c r="B583" s="156"/>
      <c r="C583" s="156"/>
      <c r="D583" s="156"/>
      <c r="E583" s="19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ht="15.75" customHeight="1">
      <c r="A584" s="156"/>
      <c r="B584" s="156"/>
      <c r="C584" s="156"/>
      <c r="D584" s="156"/>
      <c r="E584" s="19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ht="15.75" customHeight="1">
      <c r="A585" s="156"/>
      <c r="B585" s="156"/>
      <c r="C585" s="156"/>
      <c r="D585" s="156"/>
      <c r="E585" s="19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ht="15.75" customHeight="1">
      <c r="A586" s="156"/>
      <c r="B586" s="156"/>
      <c r="C586" s="156"/>
      <c r="D586" s="156"/>
      <c r="E586" s="19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ht="15.75" customHeight="1">
      <c r="A587" s="156"/>
      <c r="B587" s="156"/>
      <c r="C587" s="156"/>
      <c r="D587" s="156"/>
      <c r="E587" s="19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ht="15.75" customHeight="1">
      <c r="A588" s="156"/>
      <c r="B588" s="156"/>
      <c r="C588" s="156"/>
      <c r="D588" s="156"/>
      <c r="E588" s="19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ht="15.75" customHeight="1">
      <c r="A589" s="156"/>
      <c r="B589" s="156"/>
      <c r="C589" s="156"/>
      <c r="D589" s="156"/>
      <c r="E589" s="19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ht="15.75" customHeight="1">
      <c r="A590" s="156"/>
      <c r="B590" s="156"/>
      <c r="C590" s="156"/>
      <c r="D590" s="156"/>
      <c r="E590" s="19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ht="15.75" customHeight="1">
      <c r="A591" s="156"/>
      <c r="B591" s="156"/>
      <c r="C591" s="156"/>
      <c r="D591" s="156"/>
      <c r="E591" s="19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ht="15.75" customHeight="1">
      <c r="A592" s="156"/>
      <c r="B592" s="156"/>
      <c r="C592" s="156"/>
      <c r="D592" s="156"/>
      <c r="E592" s="19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ht="15.75" customHeight="1">
      <c r="A593" s="156"/>
      <c r="B593" s="156"/>
      <c r="C593" s="156"/>
      <c r="D593" s="156"/>
      <c r="E593" s="19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ht="15.75" customHeight="1">
      <c r="A594" s="156"/>
      <c r="B594" s="156"/>
      <c r="C594" s="156"/>
      <c r="D594" s="156"/>
      <c r="E594" s="19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ht="15.75" customHeight="1">
      <c r="A595" s="156"/>
      <c r="B595" s="156"/>
      <c r="C595" s="156"/>
      <c r="D595" s="156"/>
      <c r="E595" s="19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ht="15.75" customHeight="1">
      <c r="A596" s="156"/>
      <c r="B596" s="156"/>
      <c r="C596" s="156"/>
      <c r="D596" s="156"/>
      <c r="E596" s="19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ht="15.75" customHeight="1">
      <c r="A597" s="156"/>
      <c r="B597" s="156"/>
      <c r="C597" s="156"/>
      <c r="D597" s="156"/>
      <c r="E597" s="19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ht="15.75" customHeight="1">
      <c r="A598" s="156"/>
      <c r="B598" s="156"/>
      <c r="C598" s="156"/>
      <c r="D598" s="156"/>
      <c r="E598" s="19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ht="15.75" customHeight="1">
      <c r="A599" s="156"/>
      <c r="B599" s="156"/>
      <c r="C599" s="156"/>
      <c r="D599" s="156"/>
      <c r="E599" s="19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ht="15.75" customHeight="1">
      <c r="A600" s="156"/>
      <c r="B600" s="156"/>
      <c r="C600" s="156"/>
      <c r="D600" s="156"/>
      <c r="E600" s="19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ht="15.75" customHeight="1">
      <c r="A601" s="156"/>
      <c r="B601" s="156"/>
      <c r="C601" s="156"/>
      <c r="D601" s="156"/>
      <c r="E601" s="19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ht="15.75" customHeight="1">
      <c r="A602" s="156"/>
      <c r="B602" s="156"/>
      <c r="C602" s="156"/>
      <c r="D602" s="156"/>
      <c r="E602" s="19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ht="15.75" customHeight="1">
      <c r="A603" s="156"/>
      <c r="B603" s="156"/>
      <c r="C603" s="156"/>
      <c r="D603" s="156"/>
      <c r="E603" s="19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ht="15.75" customHeight="1">
      <c r="A604" s="156"/>
      <c r="B604" s="156"/>
      <c r="C604" s="156"/>
      <c r="D604" s="156"/>
      <c r="E604" s="19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ht="15.75" customHeight="1">
      <c r="A605" s="156"/>
      <c r="B605" s="156"/>
      <c r="C605" s="156"/>
      <c r="D605" s="156"/>
      <c r="E605" s="19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ht="15.75" customHeight="1">
      <c r="A606" s="156"/>
      <c r="B606" s="156"/>
      <c r="C606" s="156"/>
      <c r="D606" s="156"/>
      <c r="E606" s="19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ht="15.75" customHeight="1">
      <c r="A607" s="156"/>
      <c r="B607" s="156"/>
      <c r="C607" s="156"/>
      <c r="D607" s="156"/>
      <c r="E607" s="19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ht="15.75" customHeight="1">
      <c r="A608" s="156"/>
      <c r="B608" s="156"/>
      <c r="C608" s="156"/>
      <c r="D608" s="156"/>
      <c r="E608" s="19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ht="15.75" customHeight="1">
      <c r="A609" s="156"/>
      <c r="B609" s="156"/>
      <c r="C609" s="156"/>
      <c r="D609" s="156"/>
      <c r="E609" s="19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ht="15.75" customHeight="1">
      <c r="A610" s="156"/>
      <c r="B610" s="156"/>
      <c r="C610" s="156"/>
      <c r="D610" s="156"/>
      <c r="E610" s="19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ht="15.75" customHeight="1">
      <c r="A611" s="156"/>
      <c r="B611" s="156"/>
      <c r="C611" s="156"/>
      <c r="D611" s="156"/>
      <c r="E611" s="19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ht="15.75" customHeight="1">
      <c r="A612" s="156"/>
      <c r="B612" s="156"/>
      <c r="C612" s="156"/>
      <c r="D612" s="156"/>
      <c r="E612" s="19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ht="15.75" customHeight="1">
      <c r="A613" s="156"/>
      <c r="B613" s="156"/>
      <c r="C613" s="156"/>
      <c r="D613" s="156"/>
      <c r="E613" s="19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ht="15.75" customHeight="1">
      <c r="A614" s="156"/>
      <c r="B614" s="156"/>
      <c r="C614" s="156"/>
      <c r="D614" s="156"/>
      <c r="E614" s="19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ht="15.75" customHeight="1">
      <c r="A615" s="156"/>
      <c r="B615" s="156"/>
      <c r="C615" s="156"/>
      <c r="D615" s="156"/>
      <c r="E615" s="19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ht="15.75" customHeight="1">
      <c r="A616" s="156"/>
      <c r="B616" s="156"/>
      <c r="C616" s="156"/>
      <c r="D616" s="156"/>
      <c r="E616" s="19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ht="15.75" customHeight="1">
      <c r="A617" s="156"/>
      <c r="B617" s="156"/>
      <c r="C617" s="156"/>
      <c r="D617" s="156"/>
      <c r="E617" s="19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ht="15.75" customHeight="1">
      <c r="A618" s="156"/>
      <c r="B618" s="156"/>
      <c r="C618" s="156"/>
      <c r="D618" s="156"/>
      <c r="E618" s="19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ht="15.75" customHeight="1">
      <c r="A619" s="156"/>
      <c r="B619" s="156"/>
      <c r="C619" s="156"/>
      <c r="D619" s="156"/>
      <c r="E619" s="19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ht="15.75" customHeight="1">
      <c r="A620" s="156"/>
      <c r="B620" s="156"/>
      <c r="C620" s="156"/>
      <c r="D620" s="156"/>
      <c r="E620" s="19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ht="15.75" customHeight="1">
      <c r="A621" s="156"/>
      <c r="B621" s="156"/>
      <c r="C621" s="156"/>
      <c r="D621" s="156"/>
      <c r="E621" s="19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ht="15.75" customHeight="1">
      <c r="A622" s="156"/>
      <c r="B622" s="156"/>
      <c r="C622" s="156"/>
      <c r="D622" s="156"/>
      <c r="E622" s="19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ht="15.75" customHeight="1">
      <c r="A623" s="156"/>
      <c r="B623" s="156"/>
      <c r="C623" s="156"/>
      <c r="D623" s="156"/>
      <c r="E623" s="19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ht="15.75" customHeight="1">
      <c r="A624" s="156"/>
      <c r="B624" s="156"/>
      <c r="C624" s="156"/>
      <c r="D624" s="156"/>
      <c r="E624" s="19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ht="15.75" customHeight="1">
      <c r="A625" s="156"/>
      <c r="B625" s="156"/>
      <c r="C625" s="156"/>
      <c r="D625" s="156"/>
      <c r="E625" s="19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ht="15.75" customHeight="1">
      <c r="A626" s="156"/>
      <c r="B626" s="156"/>
      <c r="C626" s="156"/>
      <c r="D626" s="156"/>
      <c r="E626" s="19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ht="15.75" customHeight="1">
      <c r="A627" s="156"/>
      <c r="B627" s="156"/>
      <c r="C627" s="156"/>
      <c r="D627" s="156"/>
      <c r="E627" s="19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ht="15.75" customHeight="1">
      <c r="A628" s="156"/>
      <c r="B628" s="156"/>
      <c r="C628" s="156"/>
      <c r="D628" s="156"/>
      <c r="E628" s="19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ht="15.75" customHeight="1">
      <c r="A629" s="156"/>
      <c r="B629" s="156"/>
      <c r="C629" s="156"/>
      <c r="D629" s="156"/>
      <c r="E629" s="19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ht="15.75" customHeight="1">
      <c r="A630" s="156"/>
      <c r="B630" s="156"/>
      <c r="C630" s="156"/>
      <c r="D630" s="156"/>
      <c r="E630" s="19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ht="15.75" customHeight="1">
      <c r="A631" s="156"/>
      <c r="B631" s="156"/>
      <c r="C631" s="156"/>
      <c r="D631" s="156"/>
      <c r="E631" s="19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ht="15.75" customHeight="1">
      <c r="A632" s="156"/>
      <c r="B632" s="156"/>
      <c r="C632" s="156"/>
      <c r="D632" s="156"/>
      <c r="E632" s="19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ht="15.75" customHeight="1">
      <c r="A633" s="156"/>
      <c r="B633" s="156"/>
      <c r="C633" s="156"/>
      <c r="D633" s="156"/>
      <c r="E633" s="19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ht="15.75" customHeight="1">
      <c r="A634" s="156"/>
      <c r="B634" s="156"/>
      <c r="C634" s="156"/>
      <c r="D634" s="156"/>
      <c r="E634" s="19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ht="15.75" customHeight="1">
      <c r="A635" s="156"/>
      <c r="B635" s="156"/>
      <c r="C635" s="156"/>
      <c r="D635" s="156"/>
      <c r="E635" s="19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ht="15.75" customHeight="1">
      <c r="A636" s="156"/>
      <c r="B636" s="156"/>
      <c r="C636" s="156"/>
      <c r="D636" s="156"/>
      <c r="E636" s="19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ht="15.75" customHeight="1">
      <c r="A637" s="156"/>
      <c r="B637" s="156"/>
      <c r="C637" s="156"/>
      <c r="D637" s="156"/>
      <c r="E637" s="19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ht="15.75" customHeight="1">
      <c r="A638" s="156"/>
      <c r="B638" s="156"/>
      <c r="C638" s="156"/>
      <c r="D638" s="156"/>
      <c r="E638" s="19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ht="15.75" customHeight="1">
      <c r="A639" s="156"/>
      <c r="B639" s="156"/>
      <c r="C639" s="156"/>
      <c r="D639" s="156"/>
      <c r="E639" s="19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ht="15.75" customHeight="1">
      <c r="A640" s="156"/>
      <c r="B640" s="156"/>
      <c r="C640" s="156"/>
      <c r="D640" s="156"/>
      <c r="E640" s="19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ht="15.75" customHeight="1">
      <c r="A641" s="156"/>
      <c r="B641" s="156"/>
      <c r="C641" s="156"/>
      <c r="D641" s="156"/>
      <c r="E641" s="19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ht="15.75" customHeight="1">
      <c r="A642" s="156"/>
      <c r="B642" s="156"/>
      <c r="C642" s="156"/>
      <c r="D642" s="156"/>
      <c r="E642" s="19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ht="15.75" customHeight="1">
      <c r="A643" s="156"/>
      <c r="B643" s="156"/>
      <c r="C643" s="156"/>
      <c r="D643" s="156"/>
      <c r="E643" s="19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ht="15.75" customHeight="1">
      <c r="A644" s="156"/>
      <c r="B644" s="156"/>
      <c r="C644" s="156"/>
      <c r="D644" s="156"/>
      <c r="E644" s="19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ht="15.75" customHeight="1">
      <c r="A645" s="156"/>
      <c r="B645" s="156"/>
      <c r="C645" s="156"/>
      <c r="D645" s="156"/>
      <c r="E645" s="19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ht="15.75" customHeight="1">
      <c r="A646" s="156"/>
      <c r="B646" s="156"/>
      <c r="C646" s="156"/>
      <c r="D646" s="156"/>
      <c r="E646" s="19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ht="15.75" customHeight="1">
      <c r="A647" s="156"/>
      <c r="B647" s="156"/>
      <c r="C647" s="156"/>
      <c r="D647" s="156"/>
      <c r="E647" s="19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ht="15.75" customHeight="1">
      <c r="A648" s="156"/>
      <c r="B648" s="156"/>
      <c r="C648" s="156"/>
      <c r="D648" s="156"/>
      <c r="E648" s="19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ht="15.75" customHeight="1">
      <c r="A649" s="156"/>
      <c r="B649" s="156"/>
      <c r="C649" s="156"/>
      <c r="D649" s="156"/>
      <c r="E649" s="19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ht="15.75" customHeight="1">
      <c r="A650" s="156"/>
      <c r="B650" s="156"/>
      <c r="C650" s="156"/>
      <c r="D650" s="156"/>
      <c r="E650" s="19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ht="15.75" customHeight="1">
      <c r="A651" s="156"/>
      <c r="B651" s="156"/>
      <c r="C651" s="156"/>
      <c r="D651" s="156"/>
      <c r="E651" s="19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ht="15.75" customHeight="1">
      <c r="A652" s="156"/>
      <c r="B652" s="156"/>
      <c r="C652" s="156"/>
      <c r="D652" s="156"/>
      <c r="E652" s="19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ht="15.75" customHeight="1">
      <c r="A653" s="156"/>
      <c r="B653" s="156"/>
      <c r="C653" s="156"/>
      <c r="D653" s="156"/>
      <c r="E653" s="19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ht="15.75" customHeight="1">
      <c r="A654" s="156"/>
      <c r="B654" s="156"/>
      <c r="C654" s="156"/>
      <c r="D654" s="156"/>
      <c r="E654" s="19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ht="15.75" customHeight="1">
      <c r="A655" s="156"/>
      <c r="B655" s="156"/>
      <c r="C655" s="156"/>
      <c r="D655" s="156"/>
      <c r="E655" s="19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ht="15.75" customHeight="1">
      <c r="A656" s="156"/>
      <c r="B656" s="156"/>
      <c r="C656" s="156"/>
      <c r="D656" s="156"/>
      <c r="E656" s="19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ht="15.75" customHeight="1">
      <c r="A657" s="156"/>
      <c r="B657" s="156"/>
      <c r="C657" s="156"/>
      <c r="D657" s="156"/>
      <c r="E657" s="19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ht="15.75" customHeight="1">
      <c r="A658" s="156"/>
      <c r="B658" s="156"/>
      <c r="C658" s="156"/>
      <c r="D658" s="156"/>
      <c r="E658" s="19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ht="15.75" customHeight="1">
      <c r="A659" s="156"/>
      <c r="B659" s="156"/>
      <c r="C659" s="156"/>
      <c r="D659" s="156"/>
      <c r="E659" s="19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ht="15.75" customHeight="1">
      <c r="A660" s="156"/>
      <c r="B660" s="156"/>
      <c r="C660" s="156"/>
      <c r="D660" s="156"/>
      <c r="E660" s="19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ht="15.75" customHeight="1">
      <c r="A661" s="156"/>
      <c r="B661" s="156"/>
      <c r="C661" s="156"/>
      <c r="D661" s="156"/>
      <c r="E661" s="19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ht="15.75" customHeight="1">
      <c r="A662" s="156"/>
      <c r="B662" s="156"/>
      <c r="C662" s="156"/>
      <c r="D662" s="156"/>
      <c r="E662" s="19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ht="15.75" customHeight="1">
      <c r="A663" s="156"/>
      <c r="B663" s="156"/>
      <c r="C663" s="156"/>
      <c r="D663" s="156"/>
      <c r="E663" s="19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ht="15.75" customHeight="1">
      <c r="A664" s="156"/>
      <c r="B664" s="156"/>
      <c r="C664" s="156"/>
      <c r="D664" s="156"/>
      <c r="E664" s="19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ht="15.75" customHeight="1">
      <c r="A665" s="156"/>
      <c r="B665" s="156"/>
      <c r="C665" s="156"/>
      <c r="D665" s="156"/>
      <c r="E665" s="19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ht="15.75" customHeight="1">
      <c r="A666" s="156"/>
      <c r="B666" s="156"/>
      <c r="C666" s="156"/>
      <c r="D666" s="156"/>
      <c r="E666" s="19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ht="15.75" customHeight="1">
      <c r="A667" s="156"/>
      <c r="B667" s="156"/>
      <c r="C667" s="156"/>
      <c r="D667" s="156"/>
      <c r="E667" s="19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ht="15.75" customHeight="1">
      <c r="A668" s="156"/>
      <c r="B668" s="156"/>
      <c r="C668" s="156"/>
      <c r="D668" s="156"/>
      <c r="E668" s="19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ht="15.75" customHeight="1">
      <c r="A669" s="156"/>
      <c r="B669" s="156"/>
      <c r="C669" s="156"/>
      <c r="D669" s="156"/>
      <c r="E669" s="19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ht="15.75" customHeight="1">
      <c r="A670" s="156"/>
      <c r="B670" s="156"/>
      <c r="C670" s="156"/>
      <c r="D670" s="156"/>
      <c r="E670" s="19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ht="15.75" customHeight="1">
      <c r="A671" s="156"/>
      <c r="B671" s="156"/>
      <c r="C671" s="156"/>
      <c r="D671" s="156"/>
      <c r="E671" s="19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ht="15.75" customHeight="1">
      <c r="A672" s="156"/>
      <c r="B672" s="156"/>
      <c r="C672" s="156"/>
      <c r="D672" s="156"/>
      <c r="E672" s="19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ht="15.75" customHeight="1">
      <c r="A673" s="156"/>
      <c r="B673" s="156"/>
      <c r="C673" s="156"/>
      <c r="D673" s="156"/>
      <c r="E673" s="19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ht="15.75" customHeight="1">
      <c r="A674" s="156"/>
      <c r="B674" s="156"/>
      <c r="C674" s="156"/>
      <c r="D674" s="156"/>
      <c r="E674" s="19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ht="15.75" customHeight="1">
      <c r="A675" s="156"/>
      <c r="B675" s="156"/>
      <c r="C675" s="156"/>
      <c r="D675" s="156"/>
      <c r="E675" s="19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ht="15.75" customHeight="1">
      <c r="A676" s="156"/>
      <c r="B676" s="156"/>
      <c r="C676" s="156"/>
      <c r="D676" s="156"/>
      <c r="E676" s="19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ht="15.75" customHeight="1">
      <c r="A677" s="156"/>
      <c r="B677" s="156"/>
      <c r="C677" s="156"/>
      <c r="D677" s="156"/>
      <c r="E677" s="19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ht="15.75" customHeight="1">
      <c r="A678" s="156"/>
      <c r="B678" s="156"/>
      <c r="C678" s="156"/>
      <c r="D678" s="156"/>
      <c r="E678" s="19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ht="15.75" customHeight="1">
      <c r="A679" s="156"/>
      <c r="B679" s="156"/>
      <c r="C679" s="156"/>
      <c r="D679" s="156"/>
      <c r="E679" s="19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ht="15.75" customHeight="1">
      <c r="A680" s="156"/>
      <c r="B680" s="156"/>
      <c r="C680" s="156"/>
      <c r="D680" s="156"/>
      <c r="E680" s="19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ht="15.75" customHeight="1">
      <c r="A681" s="156"/>
      <c r="B681" s="156"/>
      <c r="C681" s="156"/>
      <c r="D681" s="156"/>
      <c r="E681" s="19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ht="15.75" customHeight="1">
      <c r="A682" s="156"/>
      <c r="B682" s="156"/>
      <c r="C682" s="156"/>
      <c r="D682" s="156"/>
      <c r="E682" s="19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ht="15.75" customHeight="1">
      <c r="A683" s="156"/>
      <c r="B683" s="156"/>
      <c r="C683" s="156"/>
      <c r="D683" s="156"/>
      <c r="E683" s="19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ht="15.75" customHeight="1">
      <c r="A684" s="156"/>
      <c r="B684" s="156"/>
      <c r="C684" s="156"/>
      <c r="D684" s="156"/>
      <c r="E684" s="19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ht="15.75" customHeight="1">
      <c r="A685" s="156"/>
      <c r="B685" s="156"/>
      <c r="C685" s="156"/>
      <c r="D685" s="156"/>
      <c r="E685" s="19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ht="15.75" customHeight="1">
      <c r="A686" s="156"/>
      <c r="B686" s="156"/>
      <c r="C686" s="156"/>
      <c r="D686" s="156"/>
      <c r="E686" s="19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ht="15.75" customHeight="1">
      <c r="A687" s="156"/>
      <c r="B687" s="156"/>
      <c r="C687" s="156"/>
      <c r="D687" s="156"/>
      <c r="E687" s="19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ht="15.75" customHeight="1">
      <c r="A688" s="156"/>
      <c r="B688" s="156"/>
      <c r="C688" s="156"/>
      <c r="D688" s="156"/>
      <c r="E688" s="19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ht="15.75" customHeight="1">
      <c r="A689" s="156"/>
      <c r="B689" s="156"/>
      <c r="C689" s="156"/>
      <c r="D689" s="156"/>
      <c r="E689" s="19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ht="15.75" customHeight="1">
      <c r="A690" s="156"/>
      <c r="B690" s="156"/>
      <c r="C690" s="156"/>
      <c r="D690" s="156"/>
      <c r="E690" s="19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ht="15.75" customHeight="1">
      <c r="A691" s="156"/>
      <c r="B691" s="156"/>
      <c r="C691" s="156"/>
      <c r="D691" s="156"/>
      <c r="E691" s="19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ht="15.75" customHeight="1">
      <c r="A692" s="156"/>
      <c r="B692" s="156"/>
      <c r="C692" s="156"/>
      <c r="D692" s="156"/>
      <c r="E692" s="19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ht="15.75" customHeight="1">
      <c r="A693" s="156"/>
      <c r="B693" s="156"/>
      <c r="C693" s="156"/>
      <c r="D693" s="156"/>
      <c r="E693" s="19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ht="15.75" customHeight="1">
      <c r="A694" s="156"/>
      <c r="B694" s="156"/>
      <c r="C694" s="156"/>
      <c r="D694" s="156"/>
      <c r="E694" s="19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ht="15.75" customHeight="1">
      <c r="A695" s="156"/>
      <c r="B695" s="156"/>
      <c r="C695" s="156"/>
      <c r="D695" s="156"/>
      <c r="E695" s="19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ht="15.75" customHeight="1">
      <c r="A696" s="156"/>
      <c r="B696" s="156"/>
      <c r="C696" s="156"/>
      <c r="D696" s="156"/>
      <c r="E696" s="19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ht="15.75" customHeight="1">
      <c r="A697" s="156"/>
      <c r="B697" s="156"/>
      <c r="C697" s="156"/>
      <c r="D697" s="156"/>
      <c r="E697" s="19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ht="15.75" customHeight="1">
      <c r="A698" s="156"/>
      <c r="B698" s="156"/>
      <c r="C698" s="156"/>
      <c r="D698" s="156"/>
      <c r="E698" s="19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ht="15.75" customHeight="1">
      <c r="A699" s="156"/>
      <c r="B699" s="156"/>
      <c r="C699" s="156"/>
      <c r="D699" s="156"/>
      <c r="E699" s="19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ht="15.75" customHeight="1">
      <c r="A700" s="156"/>
      <c r="B700" s="156"/>
      <c r="C700" s="156"/>
      <c r="D700" s="156"/>
      <c r="E700" s="19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ht="15.75" customHeight="1">
      <c r="A701" s="156"/>
      <c r="B701" s="156"/>
      <c r="C701" s="156"/>
      <c r="D701" s="156"/>
      <c r="E701" s="19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ht="15.75" customHeight="1">
      <c r="A702" s="156"/>
      <c r="B702" s="156"/>
      <c r="C702" s="156"/>
      <c r="D702" s="156"/>
      <c r="E702" s="19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ht="15.75" customHeight="1">
      <c r="A703" s="156"/>
      <c r="B703" s="156"/>
      <c r="C703" s="156"/>
      <c r="D703" s="156"/>
      <c r="E703" s="19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ht="15.75" customHeight="1">
      <c r="A704" s="156"/>
      <c r="B704" s="156"/>
      <c r="C704" s="156"/>
      <c r="D704" s="156"/>
      <c r="E704" s="19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ht="15.75" customHeight="1">
      <c r="A705" s="156"/>
      <c r="B705" s="156"/>
      <c r="C705" s="156"/>
      <c r="D705" s="156"/>
      <c r="E705" s="19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ht="15.75" customHeight="1">
      <c r="A706" s="156"/>
      <c r="B706" s="156"/>
      <c r="C706" s="156"/>
      <c r="D706" s="156"/>
      <c r="E706" s="19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ht="15.75" customHeight="1">
      <c r="A707" s="156"/>
      <c r="B707" s="156"/>
      <c r="C707" s="156"/>
      <c r="D707" s="156"/>
      <c r="E707" s="19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ht="15.75" customHeight="1">
      <c r="A708" s="156"/>
      <c r="B708" s="156"/>
      <c r="C708" s="156"/>
      <c r="D708" s="156"/>
      <c r="E708" s="19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ht="15.75" customHeight="1">
      <c r="A709" s="156"/>
      <c r="B709" s="156"/>
      <c r="C709" s="156"/>
      <c r="D709" s="156"/>
      <c r="E709" s="19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ht="15.75" customHeight="1">
      <c r="A710" s="156"/>
      <c r="B710" s="156"/>
      <c r="C710" s="156"/>
      <c r="D710" s="156"/>
      <c r="E710" s="19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ht="15.75" customHeight="1">
      <c r="A711" s="156"/>
      <c r="B711" s="156"/>
      <c r="C711" s="156"/>
      <c r="D711" s="156"/>
      <c r="E711" s="19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ht="15.75" customHeight="1">
      <c r="A712" s="156"/>
      <c r="B712" s="156"/>
      <c r="C712" s="156"/>
      <c r="D712" s="156"/>
      <c r="E712" s="19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ht="15.75" customHeight="1">
      <c r="A713" s="156"/>
      <c r="B713" s="156"/>
      <c r="C713" s="156"/>
      <c r="D713" s="156"/>
      <c r="E713" s="19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ht="15.75" customHeight="1">
      <c r="A714" s="156"/>
      <c r="B714" s="156"/>
      <c r="C714" s="156"/>
      <c r="D714" s="156"/>
      <c r="E714" s="19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ht="15.75" customHeight="1">
      <c r="A715" s="156"/>
      <c r="B715" s="156"/>
      <c r="C715" s="156"/>
      <c r="D715" s="156"/>
      <c r="E715" s="19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ht="15.75" customHeight="1">
      <c r="A716" s="156"/>
      <c r="B716" s="156"/>
      <c r="C716" s="156"/>
      <c r="D716" s="156"/>
      <c r="E716" s="19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ht="15.75" customHeight="1">
      <c r="A717" s="156"/>
      <c r="B717" s="156"/>
      <c r="C717" s="156"/>
      <c r="D717" s="156"/>
      <c r="E717" s="19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ht="15.75" customHeight="1">
      <c r="A718" s="156"/>
      <c r="B718" s="156"/>
      <c r="C718" s="156"/>
      <c r="D718" s="156"/>
      <c r="E718" s="19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ht="15.75" customHeight="1">
      <c r="A719" s="156"/>
      <c r="B719" s="156"/>
      <c r="C719" s="156"/>
      <c r="D719" s="156"/>
      <c r="E719" s="19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ht="15.75" customHeight="1">
      <c r="A720" s="156"/>
      <c r="B720" s="156"/>
      <c r="C720" s="156"/>
      <c r="D720" s="156"/>
      <c r="E720" s="19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ht="15.75" customHeight="1">
      <c r="A721" s="156"/>
      <c r="B721" s="156"/>
      <c r="C721" s="156"/>
      <c r="D721" s="156"/>
      <c r="E721" s="19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ht="15.75" customHeight="1">
      <c r="A722" s="156"/>
      <c r="B722" s="156"/>
      <c r="C722" s="156"/>
      <c r="D722" s="156"/>
      <c r="E722" s="19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ht="15.75" customHeight="1">
      <c r="A723" s="156"/>
      <c r="B723" s="156"/>
      <c r="C723" s="156"/>
      <c r="D723" s="156"/>
      <c r="E723" s="19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ht="15.75" customHeight="1">
      <c r="A724" s="156"/>
      <c r="B724" s="156"/>
      <c r="C724" s="156"/>
      <c r="D724" s="156"/>
      <c r="E724" s="19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ht="15.75" customHeight="1">
      <c r="A725" s="156"/>
      <c r="B725" s="156"/>
      <c r="C725" s="156"/>
      <c r="D725" s="156"/>
      <c r="E725" s="19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ht="15.75" customHeight="1">
      <c r="A726" s="156"/>
      <c r="B726" s="156"/>
      <c r="C726" s="156"/>
      <c r="D726" s="156"/>
      <c r="E726" s="19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ht="15.75" customHeight="1">
      <c r="A727" s="156"/>
      <c r="B727" s="156"/>
      <c r="C727" s="156"/>
      <c r="D727" s="156"/>
      <c r="E727" s="19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ht="15.75" customHeight="1">
      <c r="A728" s="156"/>
      <c r="B728" s="156"/>
      <c r="C728" s="156"/>
      <c r="D728" s="156"/>
      <c r="E728" s="19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ht="15.75" customHeight="1">
      <c r="A729" s="156"/>
      <c r="B729" s="156"/>
      <c r="C729" s="156"/>
      <c r="D729" s="156"/>
      <c r="E729" s="19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ht="15.75" customHeight="1">
      <c r="A730" s="156"/>
      <c r="B730" s="156"/>
      <c r="C730" s="156"/>
      <c r="D730" s="156"/>
      <c r="E730" s="19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ht="15.75" customHeight="1">
      <c r="A731" s="156"/>
      <c r="B731" s="156"/>
      <c r="C731" s="156"/>
      <c r="D731" s="156"/>
      <c r="E731" s="19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ht="15.75" customHeight="1">
      <c r="A732" s="156"/>
      <c r="B732" s="156"/>
      <c r="C732" s="156"/>
      <c r="D732" s="156"/>
      <c r="E732" s="19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ht="15.75" customHeight="1">
      <c r="A733" s="156"/>
      <c r="B733" s="156"/>
      <c r="C733" s="156"/>
      <c r="D733" s="156"/>
      <c r="E733" s="19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ht="15.75" customHeight="1">
      <c r="A734" s="156"/>
      <c r="B734" s="156"/>
      <c r="C734" s="156"/>
      <c r="D734" s="156"/>
      <c r="E734" s="19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ht="15.75" customHeight="1">
      <c r="A735" s="156"/>
      <c r="B735" s="156"/>
      <c r="C735" s="156"/>
      <c r="D735" s="156"/>
      <c r="E735" s="19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ht="15.75" customHeight="1">
      <c r="A736" s="156"/>
      <c r="B736" s="156"/>
      <c r="C736" s="156"/>
      <c r="D736" s="156"/>
      <c r="E736" s="19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ht="15.75" customHeight="1">
      <c r="A737" s="156"/>
      <c r="B737" s="156"/>
      <c r="C737" s="156"/>
      <c r="D737" s="156"/>
      <c r="E737" s="19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ht="15.75" customHeight="1">
      <c r="A738" s="156"/>
      <c r="B738" s="156"/>
      <c r="C738" s="156"/>
      <c r="D738" s="156"/>
      <c r="E738" s="19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ht="15.75" customHeight="1">
      <c r="A739" s="156"/>
      <c r="B739" s="156"/>
      <c r="C739" s="156"/>
      <c r="D739" s="156"/>
      <c r="E739" s="19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ht="15.75" customHeight="1">
      <c r="A740" s="156"/>
      <c r="B740" s="156"/>
      <c r="C740" s="156"/>
      <c r="D740" s="156"/>
      <c r="E740" s="19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ht="15.75" customHeight="1">
      <c r="A741" s="156"/>
      <c r="B741" s="156"/>
      <c r="C741" s="156"/>
      <c r="D741" s="156"/>
      <c r="E741" s="19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ht="15.75" customHeight="1">
      <c r="A742" s="156"/>
      <c r="B742" s="156"/>
      <c r="C742" s="156"/>
      <c r="D742" s="156"/>
      <c r="E742" s="19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ht="15.75" customHeight="1">
      <c r="A743" s="156"/>
      <c r="B743" s="156"/>
      <c r="C743" s="156"/>
      <c r="D743" s="156"/>
      <c r="E743" s="19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ht="15.75" customHeight="1">
      <c r="A744" s="156"/>
      <c r="B744" s="156"/>
      <c r="C744" s="156"/>
      <c r="D744" s="156"/>
      <c r="E744" s="19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ht="15.75" customHeight="1">
      <c r="A745" s="156"/>
      <c r="B745" s="156"/>
      <c r="C745" s="156"/>
      <c r="D745" s="156"/>
      <c r="E745" s="19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ht="15.75" customHeight="1">
      <c r="A746" s="156"/>
      <c r="B746" s="156"/>
      <c r="C746" s="156"/>
      <c r="D746" s="156"/>
      <c r="E746" s="19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ht="15.75" customHeight="1">
      <c r="A747" s="156"/>
      <c r="B747" s="156"/>
      <c r="C747" s="156"/>
      <c r="D747" s="156"/>
      <c r="E747" s="19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ht="15.75" customHeight="1">
      <c r="A748" s="156"/>
      <c r="B748" s="156"/>
      <c r="C748" s="156"/>
      <c r="D748" s="156"/>
      <c r="E748" s="19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ht="15.75" customHeight="1">
      <c r="A749" s="156"/>
      <c r="B749" s="156"/>
      <c r="C749" s="156"/>
      <c r="D749" s="156"/>
      <c r="E749" s="19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ht="15.75" customHeight="1">
      <c r="A750" s="156"/>
      <c r="B750" s="156"/>
      <c r="C750" s="156"/>
      <c r="D750" s="156"/>
      <c r="E750" s="19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ht="15.75" customHeight="1">
      <c r="A751" s="156"/>
      <c r="B751" s="156"/>
      <c r="C751" s="156"/>
      <c r="D751" s="156"/>
      <c r="E751" s="19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ht="15.75" customHeight="1">
      <c r="A752" s="156"/>
      <c r="B752" s="156"/>
      <c r="C752" s="156"/>
      <c r="D752" s="156"/>
      <c r="E752" s="19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ht="15.75" customHeight="1">
      <c r="A753" s="156"/>
      <c r="B753" s="156"/>
      <c r="C753" s="156"/>
      <c r="D753" s="156"/>
      <c r="E753" s="19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ht="15.75" customHeight="1">
      <c r="A754" s="156"/>
      <c r="B754" s="156"/>
      <c r="C754" s="156"/>
      <c r="D754" s="156"/>
      <c r="E754" s="19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ht="15.75" customHeight="1">
      <c r="A755" s="156"/>
      <c r="B755" s="156"/>
      <c r="C755" s="156"/>
      <c r="D755" s="156"/>
      <c r="E755" s="19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ht="15.75" customHeight="1">
      <c r="A756" s="156"/>
      <c r="B756" s="156"/>
      <c r="C756" s="156"/>
      <c r="D756" s="156"/>
      <c r="E756" s="19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ht="15.75" customHeight="1">
      <c r="A757" s="156"/>
      <c r="B757" s="156"/>
      <c r="C757" s="156"/>
      <c r="D757" s="156"/>
      <c r="E757" s="19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ht="15.75" customHeight="1">
      <c r="A758" s="156"/>
      <c r="B758" s="156"/>
      <c r="C758" s="156"/>
      <c r="D758" s="156"/>
      <c r="E758" s="19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ht="15.75" customHeight="1">
      <c r="A759" s="156"/>
      <c r="B759" s="156"/>
      <c r="C759" s="156"/>
      <c r="D759" s="156"/>
      <c r="E759" s="19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ht="15.75" customHeight="1">
      <c r="A760" s="156"/>
      <c r="B760" s="156"/>
      <c r="C760" s="156"/>
      <c r="D760" s="156"/>
      <c r="E760" s="19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ht="15.75" customHeight="1">
      <c r="A761" s="156"/>
      <c r="B761" s="156"/>
      <c r="C761" s="156"/>
      <c r="D761" s="156"/>
      <c r="E761" s="19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ht="15.75" customHeight="1">
      <c r="A762" s="156"/>
      <c r="B762" s="156"/>
      <c r="C762" s="156"/>
      <c r="D762" s="156"/>
      <c r="E762" s="19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ht="15.75" customHeight="1">
      <c r="A763" s="156"/>
      <c r="B763" s="156"/>
      <c r="C763" s="156"/>
      <c r="D763" s="156"/>
      <c r="E763" s="19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ht="15.75" customHeight="1">
      <c r="A764" s="156"/>
      <c r="B764" s="156"/>
      <c r="C764" s="156"/>
      <c r="D764" s="156"/>
      <c r="E764" s="19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ht="15.75" customHeight="1">
      <c r="A765" s="156"/>
      <c r="B765" s="156"/>
      <c r="C765" s="156"/>
      <c r="D765" s="156"/>
      <c r="E765" s="19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ht="15.75" customHeight="1">
      <c r="A766" s="156"/>
      <c r="B766" s="156"/>
      <c r="C766" s="156"/>
      <c r="D766" s="156"/>
      <c r="E766" s="19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ht="15.75" customHeight="1">
      <c r="A767" s="156"/>
      <c r="B767" s="156"/>
      <c r="C767" s="156"/>
      <c r="D767" s="156"/>
      <c r="E767" s="19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ht="15.75" customHeight="1">
      <c r="A768" s="156"/>
      <c r="B768" s="156"/>
      <c r="C768" s="156"/>
      <c r="D768" s="156"/>
      <c r="E768" s="19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ht="15.75" customHeight="1">
      <c r="A769" s="156"/>
      <c r="B769" s="156"/>
      <c r="C769" s="156"/>
      <c r="D769" s="156"/>
      <c r="E769" s="19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ht="15.75" customHeight="1">
      <c r="A770" s="156"/>
      <c r="B770" s="156"/>
      <c r="C770" s="156"/>
      <c r="D770" s="156"/>
      <c r="E770" s="19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ht="15.75" customHeight="1">
      <c r="A771" s="156"/>
      <c r="B771" s="156"/>
      <c r="C771" s="156"/>
      <c r="D771" s="156"/>
      <c r="E771" s="19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ht="15.75" customHeight="1">
      <c r="A772" s="156"/>
      <c r="B772" s="156"/>
      <c r="C772" s="156"/>
      <c r="D772" s="156"/>
      <c r="E772" s="19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ht="15.75" customHeight="1">
      <c r="A773" s="156"/>
      <c r="B773" s="156"/>
      <c r="C773" s="156"/>
      <c r="D773" s="156"/>
      <c r="E773" s="19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ht="15.75" customHeight="1">
      <c r="A774" s="156"/>
      <c r="B774" s="156"/>
      <c r="C774" s="156"/>
      <c r="D774" s="156"/>
      <c r="E774" s="19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ht="15.75" customHeight="1">
      <c r="A775" s="156"/>
      <c r="B775" s="156"/>
      <c r="C775" s="156"/>
      <c r="D775" s="156"/>
      <c r="E775" s="19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ht="15.75" customHeight="1">
      <c r="A776" s="156"/>
      <c r="B776" s="156"/>
      <c r="C776" s="156"/>
      <c r="D776" s="156"/>
      <c r="E776" s="19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ht="15.75" customHeight="1">
      <c r="A777" s="156"/>
      <c r="B777" s="156"/>
      <c r="C777" s="156"/>
      <c r="D777" s="156"/>
      <c r="E777" s="19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ht="15.75" customHeight="1">
      <c r="A778" s="156"/>
      <c r="B778" s="156"/>
      <c r="C778" s="156"/>
      <c r="D778" s="156"/>
      <c r="E778" s="19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ht="15.75" customHeight="1">
      <c r="A779" s="156"/>
      <c r="B779" s="156"/>
      <c r="C779" s="156"/>
      <c r="D779" s="156"/>
      <c r="E779" s="19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ht="15.75" customHeight="1">
      <c r="A780" s="156"/>
      <c r="B780" s="156"/>
      <c r="C780" s="156"/>
      <c r="D780" s="156"/>
      <c r="E780" s="19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ht="15.75" customHeight="1">
      <c r="A781" s="156"/>
      <c r="B781" s="156"/>
      <c r="C781" s="156"/>
      <c r="D781" s="156"/>
      <c r="E781" s="19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ht="15.75" customHeight="1">
      <c r="A782" s="156"/>
      <c r="B782" s="156"/>
      <c r="C782" s="156"/>
      <c r="D782" s="156"/>
      <c r="E782" s="19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ht="15.75" customHeight="1">
      <c r="A783" s="156"/>
      <c r="B783" s="156"/>
      <c r="C783" s="156"/>
      <c r="D783" s="156"/>
      <c r="E783" s="19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ht="15.75" customHeight="1">
      <c r="A784" s="156"/>
      <c r="B784" s="156"/>
      <c r="C784" s="156"/>
      <c r="D784" s="156"/>
      <c r="E784" s="19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ht="15.75" customHeight="1">
      <c r="A785" s="156"/>
      <c r="B785" s="156"/>
      <c r="C785" s="156"/>
      <c r="D785" s="156"/>
      <c r="E785" s="19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ht="15.75" customHeight="1">
      <c r="A786" s="156"/>
      <c r="B786" s="156"/>
      <c r="C786" s="156"/>
      <c r="D786" s="156"/>
      <c r="E786" s="19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ht="15.75" customHeight="1">
      <c r="A787" s="156"/>
      <c r="B787" s="156"/>
      <c r="C787" s="156"/>
      <c r="D787" s="156"/>
      <c r="E787" s="19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ht="15.75" customHeight="1">
      <c r="A788" s="156"/>
      <c r="B788" s="156"/>
      <c r="C788" s="156"/>
      <c r="D788" s="156"/>
      <c r="E788" s="19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ht="15.75" customHeight="1">
      <c r="A789" s="156"/>
      <c r="B789" s="156"/>
      <c r="C789" s="156"/>
      <c r="D789" s="156"/>
      <c r="E789" s="19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ht="15.75" customHeight="1">
      <c r="A790" s="156"/>
      <c r="B790" s="156"/>
      <c r="C790" s="156"/>
      <c r="D790" s="156"/>
      <c r="E790" s="19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ht="15.75" customHeight="1">
      <c r="A791" s="156"/>
      <c r="B791" s="156"/>
      <c r="C791" s="156"/>
      <c r="D791" s="156"/>
      <c r="E791" s="19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ht="15.75" customHeight="1">
      <c r="A792" s="156"/>
      <c r="B792" s="156"/>
      <c r="C792" s="156"/>
      <c r="D792" s="156"/>
      <c r="E792" s="19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ht="15.75" customHeight="1">
      <c r="A793" s="156"/>
      <c r="B793" s="156"/>
      <c r="C793" s="156"/>
      <c r="D793" s="156"/>
      <c r="E793" s="19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ht="15.75" customHeight="1">
      <c r="A794" s="156"/>
      <c r="B794" s="156"/>
      <c r="C794" s="156"/>
      <c r="D794" s="156"/>
      <c r="E794" s="19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ht="15.75" customHeight="1">
      <c r="A795" s="156"/>
      <c r="B795" s="156"/>
      <c r="C795" s="156"/>
      <c r="D795" s="156"/>
      <c r="E795" s="19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ht="15.75" customHeight="1">
      <c r="A796" s="156"/>
      <c r="B796" s="156"/>
      <c r="C796" s="156"/>
      <c r="D796" s="156"/>
      <c r="E796" s="19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ht="15.75" customHeight="1">
      <c r="A797" s="156"/>
      <c r="B797" s="156"/>
      <c r="C797" s="156"/>
      <c r="D797" s="156"/>
      <c r="E797" s="19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ht="15.75" customHeight="1">
      <c r="A798" s="156"/>
      <c r="B798" s="156"/>
      <c r="C798" s="156"/>
      <c r="D798" s="156"/>
      <c r="E798" s="19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ht="15.75" customHeight="1">
      <c r="A799" s="156"/>
      <c r="B799" s="156"/>
      <c r="C799" s="156"/>
      <c r="D799" s="156"/>
      <c r="E799" s="19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ht="15.75" customHeight="1">
      <c r="A800" s="156"/>
      <c r="B800" s="156"/>
      <c r="C800" s="156"/>
      <c r="D800" s="156"/>
      <c r="E800" s="19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ht="15.75" customHeight="1">
      <c r="A801" s="156"/>
      <c r="B801" s="156"/>
      <c r="C801" s="156"/>
      <c r="D801" s="156"/>
      <c r="E801" s="19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ht="15.75" customHeight="1">
      <c r="A802" s="156"/>
      <c r="B802" s="156"/>
      <c r="C802" s="156"/>
      <c r="D802" s="156"/>
      <c r="E802" s="19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ht="15.75" customHeight="1">
      <c r="A803" s="156"/>
      <c r="B803" s="156"/>
      <c r="C803" s="156"/>
      <c r="D803" s="156"/>
      <c r="E803" s="19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ht="15.75" customHeight="1">
      <c r="A804" s="156"/>
      <c r="B804" s="156"/>
      <c r="C804" s="156"/>
      <c r="D804" s="156"/>
      <c r="E804" s="19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ht="15.75" customHeight="1">
      <c r="A805" s="156"/>
      <c r="B805" s="156"/>
      <c r="C805" s="156"/>
      <c r="D805" s="156"/>
      <c r="E805" s="19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ht="15.75" customHeight="1">
      <c r="A806" s="156"/>
      <c r="B806" s="156"/>
      <c r="C806" s="156"/>
      <c r="D806" s="156"/>
      <c r="E806" s="19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ht="15.75" customHeight="1">
      <c r="A807" s="156"/>
      <c r="B807" s="156"/>
      <c r="C807" s="156"/>
      <c r="D807" s="156"/>
      <c r="E807" s="19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ht="15.75" customHeight="1">
      <c r="A808" s="156"/>
      <c r="B808" s="156"/>
      <c r="C808" s="156"/>
      <c r="D808" s="156"/>
      <c r="E808" s="19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ht="15.75" customHeight="1">
      <c r="A809" s="156"/>
      <c r="B809" s="156"/>
      <c r="C809" s="156"/>
      <c r="D809" s="156"/>
      <c r="E809" s="19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ht="15.75" customHeight="1">
      <c r="A810" s="156"/>
      <c r="B810" s="156"/>
      <c r="C810" s="156"/>
      <c r="D810" s="156"/>
      <c r="E810" s="19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ht="15.75" customHeight="1">
      <c r="A811" s="156"/>
      <c r="B811" s="156"/>
      <c r="C811" s="156"/>
      <c r="D811" s="156"/>
      <c r="E811" s="19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ht="15.75" customHeight="1">
      <c r="A812" s="156"/>
      <c r="B812" s="156"/>
      <c r="C812" s="156"/>
      <c r="D812" s="156"/>
      <c r="E812" s="19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ht="15.75" customHeight="1">
      <c r="A813" s="156"/>
      <c r="B813" s="156"/>
      <c r="C813" s="156"/>
      <c r="D813" s="156"/>
      <c r="E813" s="19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ht="15.75" customHeight="1">
      <c r="A814" s="156"/>
      <c r="B814" s="156"/>
      <c r="C814" s="156"/>
      <c r="D814" s="156"/>
      <c r="E814" s="19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ht="15.75" customHeight="1">
      <c r="A815" s="156"/>
      <c r="B815" s="156"/>
      <c r="C815" s="156"/>
      <c r="D815" s="156"/>
      <c r="E815" s="19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ht="15.75" customHeight="1">
      <c r="A816" s="156"/>
      <c r="B816" s="156"/>
      <c r="C816" s="156"/>
      <c r="D816" s="156"/>
      <c r="E816" s="19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ht="15.75" customHeight="1">
      <c r="A817" s="156"/>
      <c r="B817" s="156"/>
      <c r="C817" s="156"/>
      <c r="D817" s="156"/>
      <c r="E817" s="19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ht="15.75" customHeight="1">
      <c r="A818" s="156"/>
      <c r="B818" s="156"/>
      <c r="C818" s="156"/>
      <c r="D818" s="156"/>
      <c r="E818" s="19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ht="15.75" customHeight="1">
      <c r="A819" s="156"/>
      <c r="B819" s="156"/>
      <c r="C819" s="156"/>
      <c r="D819" s="156"/>
      <c r="E819" s="19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ht="15.75" customHeight="1">
      <c r="A820" s="156"/>
      <c r="B820" s="156"/>
      <c r="C820" s="156"/>
      <c r="D820" s="156"/>
      <c r="E820" s="19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ht="15.75" customHeight="1">
      <c r="A821" s="156"/>
      <c r="B821" s="156"/>
      <c r="C821" s="156"/>
      <c r="D821" s="156"/>
      <c r="E821" s="19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ht="15.75" customHeight="1">
      <c r="A822" s="156"/>
      <c r="B822" s="156"/>
      <c r="C822" s="156"/>
      <c r="D822" s="156"/>
      <c r="E822" s="19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ht="15.75" customHeight="1">
      <c r="A823" s="156"/>
      <c r="B823" s="156"/>
      <c r="C823" s="156"/>
      <c r="D823" s="156"/>
      <c r="E823" s="19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ht="15.75" customHeight="1">
      <c r="A824" s="156"/>
      <c r="B824" s="156"/>
      <c r="C824" s="156"/>
      <c r="D824" s="156"/>
      <c r="E824" s="19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ht="15.75" customHeight="1">
      <c r="A825" s="156"/>
      <c r="B825" s="156"/>
      <c r="C825" s="156"/>
      <c r="D825" s="156"/>
      <c r="E825" s="19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ht="15.75" customHeight="1">
      <c r="A826" s="156"/>
      <c r="B826" s="156"/>
      <c r="C826" s="156"/>
      <c r="D826" s="156"/>
      <c r="E826" s="19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ht="15.75" customHeight="1">
      <c r="A827" s="156"/>
      <c r="B827" s="156"/>
      <c r="C827" s="156"/>
      <c r="D827" s="156"/>
      <c r="E827" s="19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ht="15.75" customHeight="1">
      <c r="A828" s="156"/>
      <c r="B828" s="156"/>
      <c r="C828" s="156"/>
      <c r="D828" s="156"/>
      <c r="E828" s="19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ht="15.75" customHeight="1">
      <c r="A829" s="156"/>
      <c r="B829" s="156"/>
      <c r="C829" s="156"/>
      <c r="D829" s="156"/>
      <c r="E829" s="19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ht="15.75" customHeight="1">
      <c r="A830" s="156"/>
      <c r="B830" s="156"/>
      <c r="C830" s="156"/>
      <c r="D830" s="156"/>
      <c r="E830" s="19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ht="15.75" customHeight="1">
      <c r="A831" s="156"/>
      <c r="B831" s="156"/>
      <c r="C831" s="156"/>
      <c r="D831" s="156"/>
      <c r="E831" s="19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ht="15.75" customHeight="1">
      <c r="A832" s="156"/>
      <c r="B832" s="156"/>
      <c r="C832" s="156"/>
      <c r="D832" s="156"/>
      <c r="E832" s="19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ht="15.75" customHeight="1">
      <c r="A833" s="156"/>
      <c r="B833" s="156"/>
      <c r="C833" s="156"/>
      <c r="D833" s="156"/>
      <c r="E833" s="19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ht="15.75" customHeight="1">
      <c r="A834" s="156"/>
      <c r="B834" s="156"/>
      <c r="C834" s="156"/>
      <c r="D834" s="156"/>
      <c r="E834" s="19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ht="15.75" customHeight="1">
      <c r="A835" s="156"/>
      <c r="B835" s="156"/>
      <c r="C835" s="156"/>
      <c r="D835" s="156"/>
      <c r="E835" s="19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ht="15.75" customHeight="1">
      <c r="A836" s="156"/>
      <c r="B836" s="156"/>
      <c r="C836" s="156"/>
      <c r="D836" s="156"/>
      <c r="E836" s="19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ht="15.75" customHeight="1">
      <c r="A837" s="156"/>
      <c r="B837" s="156"/>
      <c r="C837" s="156"/>
      <c r="D837" s="156"/>
      <c r="E837" s="19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ht="15.75" customHeight="1">
      <c r="A838" s="156"/>
      <c r="B838" s="156"/>
      <c r="C838" s="156"/>
      <c r="D838" s="156"/>
      <c r="E838" s="19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ht="15.75" customHeight="1">
      <c r="A839" s="156"/>
      <c r="B839" s="156"/>
      <c r="C839" s="156"/>
      <c r="D839" s="156"/>
      <c r="E839" s="19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ht="15.75" customHeight="1">
      <c r="A840" s="156"/>
      <c r="B840" s="156"/>
      <c r="C840" s="156"/>
      <c r="D840" s="156"/>
      <c r="E840" s="19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ht="15.75" customHeight="1">
      <c r="A841" s="156"/>
      <c r="B841" s="156"/>
      <c r="C841" s="156"/>
      <c r="D841" s="156"/>
      <c r="E841" s="19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ht="15.75" customHeight="1">
      <c r="A842" s="156"/>
      <c r="B842" s="156"/>
      <c r="C842" s="156"/>
      <c r="D842" s="156"/>
      <c r="E842" s="19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ht="15.75" customHeight="1">
      <c r="A843" s="156"/>
      <c r="B843" s="156"/>
      <c r="C843" s="156"/>
      <c r="D843" s="156"/>
      <c r="E843" s="19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ht="15.75" customHeight="1">
      <c r="A844" s="156"/>
      <c r="B844" s="156"/>
      <c r="C844" s="156"/>
      <c r="D844" s="156"/>
      <c r="E844" s="19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ht="15.75" customHeight="1">
      <c r="A845" s="156"/>
      <c r="B845" s="156"/>
      <c r="C845" s="156"/>
      <c r="D845" s="156"/>
      <c r="E845" s="19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ht="15.75" customHeight="1">
      <c r="A846" s="156"/>
      <c r="B846" s="156"/>
      <c r="C846" s="156"/>
      <c r="D846" s="156"/>
      <c r="E846" s="19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ht="15.75" customHeight="1">
      <c r="A847" s="156"/>
      <c r="B847" s="156"/>
      <c r="C847" s="156"/>
      <c r="D847" s="156"/>
      <c r="E847" s="19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ht="15.75" customHeight="1">
      <c r="A848" s="156"/>
      <c r="B848" s="156"/>
      <c r="C848" s="156"/>
      <c r="D848" s="156"/>
      <c r="E848" s="19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ht="15.75" customHeight="1">
      <c r="A849" s="156"/>
      <c r="B849" s="156"/>
      <c r="C849" s="156"/>
      <c r="D849" s="156"/>
      <c r="E849" s="19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ht="15.75" customHeight="1">
      <c r="A850" s="156"/>
      <c r="B850" s="156"/>
      <c r="C850" s="156"/>
      <c r="D850" s="156"/>
      <c r="E850" s="19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ht="15.75" customHeight="1">
      <c r="A851" s="156"/>
      <c r="B851" s="156"/>
      <c r="C851" s="156"/>
      <c r="D851" s="156"/>
      <c r="E851" s="19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ht="15.75" customHeight="1">
      <c r="A852" s="156"/>
      <c r="B852" s="156"/>
      <c r="C852" s="156"/>
      <c r="D852" s="156"/>
      <c r="E852" s="19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ht="15.75" customHeight="1">
      <c r="A853" s="156"/>
      <c r="B853" s="156"/>
      <c r="C853" s="156"/>
      <c r="D853" s="156"/>
      <c r="E853" s="19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ht="15.75" customHeight="1">
      <c r="A854" s="156"/>
      <c r="B854" s="156"/>
      <c r="C854" s="156"/>
      <c r="D854" s="156"/>
      <c r="E854" s="19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ht="15.75" customHeight="1">
      <c r="A855" s="156"/>
      <c r="B855" s="156"/>
      <c r="C855" s="156"/>
      <c r="D855" s="156"/>
      <c r="E855" s="19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ht="15.75" customHeight="1">
      <c r="A856" s="156"/>
      <c r="B856" s="156"/>
      <c r="C856" s="156"/>
      <c r="D856" s="156"/>
      <c r="E856" s="19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ht="15.75" customHeight="1">
      <c r="A857" s="156"/>
      <c r="B857" s="156"/>
      <c r="C857" s="156"/>
      <c r="D857" s="156"/>
      <c r="E857" s="19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ht="15.75" customHeight="1">
      <c r="A858" s="156"/>
      <c r="B858" s="156"/>
      <c r="C858" s="156"/>
      <c r="D858" s="156"/>
      <c r="E858" s="19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ht="15.75" customHeight="1">
      <c r="A859" s="156"/>
      <c r="B859" s="156"/>
      <c r="C859" s="156"/>
      <c r="D859" s="156"/>
      <c r="E859" s="19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ht="15.75" customHeight="1">
      <c r="A860" s="156"/>
      <c r="B860" s="156"/>
      <c r="C860" s="156"/>
      <c r="D860" s="156"/>
      <c r="E860" s="19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ht="15.75" customHeight="1">
      <c r="A861" s="156"/>
      <c r="B861" s="156"/>
      <c r="C861" s="156"/>
      <c r="D861" s="156"/>
      <c r="E861" s="19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ht="15.75" customHeight="1">
      <c r="A862" s="156"/>
      <c r="B862" s="156"/>
      <c r="C862" s="156"/>
      <c r="D862" s="156"/>
      <c r="E862" s="19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ht="15.75" customHeight="1">
      <c r="A863" s="156"/>
      <c r="B863" s="156"/>
      <c r="C863" s="156"/>
      <c r="D863" s="156"/>
      <c r="E863" s="19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ht="15.75" customHeight="1">
      <c r="A864" s="156"/>
      <c r="B864" s="156"/>
      <c r="C864" s="156"/>
      <c r="D864" s="156"/>
      <c r="E864" s="19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ht="15.75" customHeight="1">
      <c r="A865" s="156"/>
      <c r="B865" s="156"/>
      <c r="C865" s="156"/>
      <c r="D865" s="156"/>
      <c r="E865" s="19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ht="15.75" customHeight="1">
      <c r="A866" s="156"/>
      <c r="B866" s="156"/>
      <c r="C866" s="156"/>
      <c r="D866" s="156"/>
      <c r="E866" s="19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ht="15.75" customHeight="1">
      <c r="A867" s="156"/>
      <c r="B867" s="156"/>
      <c r="C867" s="156"/>
      <c r="D867" s="156"/>
      <c r="E867" s="19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ht="15.75" customHeight="1">
      <c r="A868" s="156"/>
      <c r="B868" s="156"/>
      <c r="C868" s="156"/>
      <c r="D868" s="156"/>
      <c r="E868" s="19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ht="15.75" customHeight="1">
      <c r="A869" s="156"/>
      <c r="B869" s="156"/>
      <c r="C869" s="156"/>
      <c r="D869" s="156"/>
      <c r="E869" s="19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ht="15.75" customHeight="1">
      <c r="A870" s="156"/>
      <c r="B870" s="156"/>
      <c r="C870" s="156"/>
      <c r="D870" s="156"/>
      <c r="E870" s="19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ht="15.75" customHeight="1">
      <c r="A871" s="156"/>
      <c r="B871" s="156"/>
      <c r="C871" s="156"/>
      <c r="D871" s="156"/>
      <c r="E871" s="19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ht="15.75" customHeight="1">
      <c r="A872" s="156"/>
      <c r="B872" s="156"/>
      <c r="C872" s="156"/>
      <c r="D872" s="156"/>
      <c r="E872" s="19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ht="15.75" customHeight="1">
      <c r="A873" s="156"/>
      <c r="B873" s="156"/>
      <c r="C873" s="156"/>
      <c r="D873" s="156"/>
      <c r="E873" s="19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ht="15.75" customHeight="1">
      <c r="A874" s="156"/>
      <c r="B874" s="156"/>
      <c r="C874" s="156"/>
      <c r="D874" s="156"/>
      <c r="E874" s="19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ht="15.75" customHeight="1">
      <c r="A875" s="156"/>
      <c r="B875" s="156"/>
      <c r="C875" s="156"/>
      <c r="D875" s="156"/>
      <c r="E875" s="19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ht="15.75" customHeight="1">
      <c r="A876" s="156"/>
      <c r="B876" s="156"/>
      <c r="C876" s="156"/>
      <c r="D876" s="156"/>
      <c r="E876" s="19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ht="15.75" customHeight="1">
      <c r="A877" s="156"/>
      <c r="B877" s="156"/>
      <c r="C877" s="156"/>
      <c r="D877" s="156"/>
      <c r="E877" s="19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ht="15.75" customHeight="1">
      <c r="A878" s="156"/>
      <c r="B878" s="156"/>
      <c r="C878" s="156"/>
      <c r="D878" s="156"/>
      <c r="E878" s="19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ht="15.75" customHeight="1">
      <c r="A879" s="156"/>
      <c r="B879" s="156"/>
      <c r="C879" s="156"/>
      <c r="D879" s="156"/>
      <c r="E879" s="19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ht="15.75" customHeight="1">
      <c r="A880" s="156"/>
      <c r="B880" s="156"/>
      <c r="C880" s="156"/>
      <c r="D880" s="156"/>
      <c r="E880" s="19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ht="15.75" customHeight="1">
      <c r="A881" s="156"/>
      <c r="B881" s="156"/>
      <c r="C881" s="156"/>
      <c r="D881" s="156"/>
      <c r="E881" s="19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ht="15.75" customHeight="1">
      <c r="A882" s="156"/>
      <c r="B882" s="156"/>
      <c r="C882" s="156"/>
      <c r="D882" s="156"/>
      <c r="E882" s="19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ht="15.75" customHeight="1">
      <c r="A883" s="156"/>
      <c r="B883" s="156"/>
      <c r="C883" s="156"/>
      <c r="D883" s="156"/>
      <c r="E883" s="19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ht="15.75" customHeight="1">
      <c r="A884" s="156"/>
      <c r="B884" s="156"/>
      <c r="C884" s="156"/>
      <c r="D884" s="156"/>
      <c r="E884" s="19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ht="15.75" customHeight="1">
      <c r="A885" s="156"/>
      <c r="B885" s="156"/>
      <c r="C885" s="156"/>
      <c r="D885" s="156"/>
      <c r="E885" s="19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ht="15.75" customHeight="1">
      <c r="A886" s="156"/>
      <c r="B886" s="156"/>
      <c r="C886" s="156"/>
      <c r="D886" s="156"/>
      <c r="E886" s="19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ht="15.75" customHeight="1">
      <c r="A887" s="156"/>
      <c r="B887" s="156"/>
      <c r="C887" s="156"/>
      <c r="D887" s="156"/>
      <c r="E887" s="19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ht="15.75" customHeight="1">
      <c r="A888" s="156"/>
      <c r="B888" s="156"/>
      <c r="C888" s="156"/>
      <c r="D888" s="156"/>
      <c r="E888" s="19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ht="15.75" customHeight="1">
      <c r="A889" s="156"/>
      <c r="B889" s="156"/>
      <c r="C889" s="156"/>
      <c r="D889" s="156"/>
      <c r="E889" s="19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ht="15.75" customHeight="1">
      <c r="A890" s="156"/>
      <c r="B890" s="156"/>
      <c r="C890" s="156"/>
      <c r="D890" s="156"/>
      <c r="E890" s="19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ht="15.75" customHeight="1">
      <c r="A891" s="156"/>
      <c r="B891" s="156"/>
      <c r="C891" s="156"/>
      <c r="D891" s="156"/>
      <c r="E891" s="19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ht="15.75" customHeight="1">
      <c r="A892" s="156"/>
      <c r="B892" s="156"/>
      <c r="C892" s="156"/>
      <c r="D892" s="156"/>
      <c r="E892" s="19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ht="15.75" customHeight="1">
      <c r="A893" s="156"/>
      <c r="B893" s="156"/>
      <c r="C893" s="156"/>
      <c r="D893" s="156"/>
      <c r="E893" s="19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ht="15.75" customHeight="1">
      <c r="A894" s="156"/>
      <c r="B894" s="156"/>
      <c r="C894" s="156"/>
      <c r="D894" s="156"/>
      <c r="E894" s="19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ht="15.75" customHeight="1">
      <c r="A895" s="156"/>
      <c r="B895" s="156"/>
      <c r="C895" s="156"/>
      <c r="D895" s="156"/>
      <c r="E895" s="19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ht="15.75" customHeight="1">
      <c r="A896" s="156"/>
      <c r="B896" s="156"/>
      <c r="C896" s="156"/>
      <c r="D896" s="156"/>
      <c r="E896" s="19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ht="15.75" customHeight="1">
      <c r="A897" s="156"/>
      <c r="B897" s="156"/>
      <c r="C897" s="156"/>
      <c r="D897" s="156"/>
      <c r="E897" s="19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ht="15.75" customHeight="1">
      <c r="A898" s="156"/>
      <c r="B898" s="156"/>
      <c r="C898" s="156"/>
      <c r="D898" s="156"/>
      <c r="E898" s="19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ht="15.75" customHeight="1">
      <c r="A899" s="156"/>
      <c r="B899" s="156"/>
      <c r="C899" s="156"/>
      <c r="D899" s="156"/>
      <c r="E899" s="19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ht="15.75" customHeight="1">
      <c r="A900" s="156"/>
      <c r="B900" s="156"/>
      <c r="C900" s="156"/>
      <c r="D900" s="156"/>
      <c r="E900" s="19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ht="15.75" customHeight="1">
      <c r="A901" s="156"/>
      <c r="B901" s="156"/>
      <c r="C901" s="156"/>
      <c r="D901" s="156"/>
      <c r="E901" s="19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ht="15.75" customHeight="1">
      <c r="A902" s="156"/>
      <c r="B902" s="156"/>
      <c r="C902" s="156"/>
      <c r="D902" s="156"/>
      <c r="E902" s="19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ht="15.75" customHeight="1">
      <c r="A903" s="156"/>
      <c r="B903" s="156"/>
      <c r="C903" s="156"/>
      <c r="D903" s="156"/>
      <c r="E903" s="19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ht="15.75" customHeight="1">
      <c r="A904" s="156"/>
      <c r="B904" s="156"/>
      <c r="C904" s="156"/>
      <c r="D904" s="156"/>
      <c r="E904" s="19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ht="15.75" customHeight="1">
      <c r="A905" s="156"/>
      <c r="B905" s="156"/>
      <c r="C905" s="156"/>
      <c r="D905" s="156"/>
      <c r="E905" s="19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ht="15.75" customHeight="1">
      <c r="A906" s="156"/>
      <c r="B906" s="156"/>
      <c r="C906" s="156"/>
      <c r="D906" s="156"/>
      <c r="E906" s="19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ht="15.75" customHeight="1">
      <c r="A907" s="156"/>
      <c r="B907" s="156"/>
      <c r="C907" s="156"/>
      <c r="D907" s="156"/>
      <c r="E907" s="19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ht="15.75" customHeight="1">
      <c r="A908" s="156"/>
      <c r="B908" s="156"/>
      <c r="C908" s="156"/>
      <c r="D908" s="156"/>
      <c r="E908" s="19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ht="15.75" customHeight="1">
      <c r="A909" s="156"/>
      <c r="B909" s="156"/>
      <c r="C909" s="156"/>
      <c r="D909" s="156"/>
      <c r="E909" s="19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ht="15.75" customHeight="1">
      <c r="A910" s="156"/>
      <c r="B910" s="156"/>
      <c r="C910" s="156"/>
      <c r="D910" s="156"/>
      <c r="E910" s="19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ht="15.75" customHeight="1">
      <c r="A911" s="156"/>
      <c r="B911" s="156"/>
      <c r="C911" s="156"/>
      <c r="D911" s="156"/>
      <c r="E911" s="19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ht="15.75" customHeight="1">
      <c r="A912" s="156"/>
      <c r="B912" s="156"/>
      <c r="C912" s="156"/>
      <c r="D912" s="156"/>
      <c r="E912" s="19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ht="15.75" customHeight="1">
      <c r="A913" s="156"/>
      <c r="B913" s="156"/>
      <c r="C913" s="156"/>
      <c r="D913" s="156"/>
      <c r="E913" s="19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ht="15.75" customHeight="1">
      <c r="A914" s="156"/>
      <c r="B914" s="156"/>
      <c r="C914" s="156"/>
      <c r="D914" s="156"/>
      <c r="E914" s="19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ht="15.75" customHeight="1">
      <c r="A915" s="156"/>
      <c r="B915" s="156"/>
      <c r="C915" s="156"/>
      <c r="D915" s="156"/>
      <c r="E915" s="19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ht="15.75" customHeight="1">
      <c r="A916" s="156"/>
      <c r="B916" s="156"/>
      <c r="C916" s="156"/>
      <c r="D916" s="156"/>
      <c r="E916" s="19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ht="15.75" customHeight="1">
      <c r="A917" s="156"/>
      <c r="B917" s="156"/>
      <c r="C917" s="156"/>
      <c r="D917" s="156"/>
      <c r="E917" s="19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ht="15.75" customHeight="1">
      <c r="A918" s="156"/>
      <c r="B918" s="156"/>
      <c r="C918" s="156"/>
      <c r="D918" s="156"/>
      <c r="E918" s="19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ht="15.75" customHeight="1">
      <c r="A919" s="156"/>
      <c r="B919" s="156"/>
      <c r="C919" s="156"/>
      <c r="D919" s="156"/>
      <c r="E919" s="19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ht="15.75" customHeight="1">
      <c r="A920" s="156"/>
      <c r="B920" s="156"/>
      <c r="C920" s="156"/>
      <c r="D920" s="156"/>
      <c r="E920" s="19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ht="15.75" customHeight="1">
      <c r="A921" s="156"/>
      <c r="B921" s="156"/>
      <c r="C921" s="156"/>
      <c r="D921" s="156"/>
      <c r="E921" s="19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ht="15.75" customHeight="1">
      <c r="A922" s="156"/>
      <c r="B922" s="156"/>
      <c r="C922" s="156"/>
      <c r="D922" s="156"/>
      <c r="E922" s="19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ht="15.75" customHeight="1">
      <c r="A923" s="156"/>
      <c r="B923" s="156"/>
      <c r="C923" s="156"/>
      <c r="D923" s="156"/>
      <c r="E923" s="19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ht="15.75" customHeight="1">
      <c r="A924" s="156"/>
      <c r="B924" s="156"/>
      <c r="C924" s="156"/>
      <c r="D924" s="156"/>
      <c r="E924" s="19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ht="15.75" customHeight="1">
      <c r="A925" s="156"/>
      <c r="B925" s="156"/>
      <c r="C925" s="156"/>
      <c r="D925" s="156"/>
      <c r="E925" s="19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ht="15.75" customHeight="1">
      <c r="A926" s="156"/>
      <c r="B926" s="156"/>
      <c r="C926" s="156"/>
      <c r="D926" s="156"/>
      <c r="E926" s="19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ht="15.75" customHeight="1">
      <c r="A927" s="156"/>
      <c r="B927" s="156"/>
      <c r="C927" s="156"/>
      <c r="D927" s="156"/>
      <c r="E927" s="19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ht="15.75" customHeight="1">
      <c r="A928" s="156"/>
      <c r="B928" s="156"/>
      <c r="C928" s="156"/>
      <c r="D928" s="156"/>
      <c r="E928" s="19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ht="15.75" customHeight="1">
      <c r="A929" s="156"/>
      <c r="B929" s="156"/>
      <c r="C929" s="156"/>
      <c r="D929" s="156"/>
      <c r="E929" s="19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ht="15.75" customHeight="1">
      <c r="A930" s="156"/>
      <c r="B930" s="156"/>
      <c r="C930" s="156"/>
      <c r="D930" s="156"/>
      <c r="E930" s="19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ht="15.75" customHeight="1">
      <c r="A931" s="156"/>
      <c r="B931" s="156"/>
      <c r="C931" s="156"/>
      <c r="D931" s="156"/>
      <c r="E931" s="19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ht="15.75" customHeight="1">
      <c r="A932" s="156"/>
      <c r="B932" s="156"/>
      <c r="C932" s="156"/>
      <c r="D932" s="156"/>
      <c r="E932" s="19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ht="15.75" customHeight="1">
      <c r="A933" s="156"/>
      <c r="B933" s="156"/>
      <c r="C933" s="156"/>
      <c r="D933" s="156"/>
      <c r="E933" s="19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ht="15.75" customHeight="1">
      <c r="A934" s="156"/>
      <c r="B934" s="156"/>
      <c r="C934" s="156"/>
      <c r="D934" s="156"/>
      <c r="E934" s="19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ht="15.75" customHeight="1">
      <c r="A935" s="156"/>
      <c r="B935" s="156"/>
      <c r="C935" s="156"/>
      <c r="D935" s="156"/>
      <c r="E935" s="19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ht="15.75" customHeight="1">
      <c r="A936" s="156"/>
      <c r="B936" s="156"/>
      <c r="C936" s="156"/>
      <c r="D936" s="156"/>
      <c r="E936" s="19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ht="15.75" customHeight="1">
      <c r="A937" s="156"/>
      <c r="B937" s="156"/>
      <c r="C937" s="156"/>
      <c r="D937" s="156"/>
      <c r="E937" s="19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ht="15.75" customHeight="1">
      <c r="A938" s="156"/>
      <c r="B938" s="156"/>
      <c r="C938" s="156"/>
      <c r="D938" s="156"/>
      <c r="E938" s="19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ht="15.75" customHeight="1">
      <c r="A939" s="156"/>
      <c r="B939" s="156"/>
      <c r="C939" s="156"/>
      <c r="D939" s="156"/>
      <c r="E939" s="19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ht="15.75" customHeight="1">
      <c r="A940" s="156"/>
      <c r="B940" s="156"/>
      <c r="C940" s="156"/>
      <c r="D940" s="156"/>
      <c r="E940" s="19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ht="15.75" customHeight="1">
      <c r="A941" s="156"/>
      <c r="B941" s="156"/>
      <c r="C941" s="156"/>
      <c r="D941" s="156"/>
      <c r="E941" s="19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ht="15.75" customHeight="1">
      <c r="A942" s="156"/>
      <c r="B942" s="156"/>
      <c r="C942" s="156"/>
      <c r="D942" s="156"/>
      <c r="E942" s="19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ht="15.75" customHeight="1">
      <c r="A943" s="156"/>
      <c r="B943" s="156"/>
      <c r="C943" s="156"/>
      <c r="D943" s="156"/>
      <c r="E943" s="19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ht="15.75" customHeight="1">
      <c r="A944" s="156"/>
      <c r="B944" s="156"/>
      <c r="C944" s="156"/>
      <c r="D944" s="156"/>
      <c r="E944" s="19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ht="15.75" customHeight="1">
      <c r="A945" s="156"/>
      <c r="B945" s="156"/>
      <c r="C945" s="156"/>
      <c r="D945" s="156"/>
      <c r="E945" s="19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ht="15.75" customHeight="1">
      <c r="A946" s="156"/>
      <c r="B946" s="156"/>
      <c r="C946" s="156"/>
      <c r="D946" s="156"/>
      <c r="E946" s="19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ht="15.75" customHeight="1">
      <c r="A947" s="156"/>
      <c r="B947" s="156"/>
      <c r="C947" s="156"/>
      <c r="D947" s="156"/>
      <c r="E947" s="19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ht="15.75" customHeight="1">
      <c r="A948" s="156"/>
      <c r="B948" s="156"/>
      <c r="C948" s="156"/>
      <c r="D948" s="156"/>
      <c r="E948" s="19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ht="15.75" customHeight="1">
      <c r="A949" s="156"/>
      <c r="B949" s="156"/>
      <c r="C949" s="156"/>
      <c r="D949" s="156"/>
      <c r="E949" s="19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ht="15.75" customHeight="1">
      <c r="A950" s="156"/>
      <c r="B950" s="156"/>
      <c r="C950" s="156"/>
      <c r="D950" s="156"/>
      <c r="E950" s="19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ht="15.75" customHeight="1">
      <c r="A951" s="156"/>
      <c r="B951" s="156"/>
      <c r="C951" s="156"/>
      <c r="D951" s="156"/>
      <c r="E951" s="19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ht="15.75" customHeight="1">
      <c r="A952" s="156"/>
      <c r="B952" s="156"/>
      <c r="C952" s="156"/>
      <c r="D952" s="156"/>
      <c r="E952" s="19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ht="15.75" customHeight="1">
      <c r="A953" s="156"/>
      <c r="B953" s="156"/>
      <c r="C953" s="156"/>
      <c r="D953" s="156"/>
      <c r="E953" s="19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ht="15.75" customHeight="1">
      <c r="A954" s="156"/>
      <c r="B954" s="156"/>
      <c r="C954" s="156"/>
      <c r="D954" s="156"/>
      <c r="E954" s="19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ht="15.75" customHeight="1">
      <c r="A955" s="156"/>
      <c r="B955" s="156"/>
      <c r="C955" s="156"/>
      <c r="D955" s="156"/>
      <c r="E955" s="19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ht="15.75" customHeight="1">
      <c r="A956" s="156"/>
      <c r="B956" s="156"/>
      <c r="C956" s="156"/>
      <c r="D956" s="156"/>
      <c r="E956" s="19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ht="15.75" customHeight="1">
      <c r="A957" s="156"/>
      <c r="B957" s="156"/>
      <c r="C957" s="156"/>
      <c r="D957" s="156"/>
      <c r="E957" s="19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ht="15.75" customHeight="1">
      <c r="A958" s="156"/>
      <c r="B958" s="156"/>
      <c r="C958" s="156"/>
      <c r="D958" s="156"/>
      <c r="E958" s="19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ht="15.75" customHeight="1">
      <c r="A959" s="156"/>
      <c r="B959" s="156"/>
      <c r="C959" s="156"/>
      <c r="D959" s="156"/>
      <c r="E959" s="19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ht="15.75" customHeight="1">
      <c r="A960" s="156"/>
      <c r="B960" s="156"/>
      <c r="C960" s="156"/>
      <c r="D960" s="156"/>
      <c r="E960" s="19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ht="15.75" customHeight="1">
      <c r="A961" s="156"/>
      <c r="B961" s="156"/>
      <c r="C961" s="156"/>
      <c r="D961" s="156"/>
      <c r="E961" s="19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ht="15.75" customHeight="1">
      <c r="A962" s="156"/>
      <c r="B962" s="156"/>
      <c r="C962" s="156"/>
      <c r="D962" s="156"/>
      <c r="E962" s="19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ht="15.75" customHeight="1">
      <c r="A963" s="156"/>
      <c r="B963" s="156"/>
      <c r="C963" s="156"/>
      <c r="D963" s="156"/>
      <c r="E963" s="19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ht="15.75" customHeight="1">
      <c r="A964" s="156"/>
      <c r="B964" s="156"/>
      <c r="C964" s="156"/>
      <c r="D964" s="156"/>
      <c r="E964" s="19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ht="15.75" customHeight="1">
      <c r="A965" s="156"/>
      <c r="B965" s="156"/>
      <c r="C965" s="156"/>
      <c r="D965" s="156"/>
      <c r="E965" s="19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ht="15.75" customHeight="1">
      <c r="A966" s="156"/>
      <c r="B966" s="156"/>
      <c r="C966" s="156"/>
      <c r="D966" s="156"/>
      <c r="E966" s="19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ht="15.75" customHeight="1">
      <c r="A967" s="156"/>
      <c r="B967" s="156"/>
      <c r="C967" s="156"/>
      <c r="D967" s="156"/>
      <c r="E967" s="19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ht="15.75" customHeight="1">
      <c r="A968" s="156"/>
      <c r="B968" s="156"/>
      <c r="C968" s="156"/>
      <c r="D968" s="156"/>
      <c r="E968" s="19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ht="15.75" customHeight="1">
      <c r="A969" s="156"/>
      <c r="B969" s="156"/>
      <c r="C969" s="156"/>
      <c r="D969" s="156"/>
      <c r="E969" s="19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ht="15.75" customHeight="1">
      <c r="A970" s="156"/>
      <c r="B970" s="156"/>
      <c r="C970" s="156"/>
      <c r="D970" s="156"/>
      <c r="E970" s="19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ht="15.75" customHeight="1">
      <c r="A971" s="156"/>
      <c r="B971" s="156"/>
      <c r="C971" s="156"/>
      <c r="D971" s="156"/>
      <c r="E971" s="19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ht="15.75" customHeight="1">
      <c r="A972" s="156"/>
      <c r="B972" s="156"/>
      <c r="C972" s="156"/>
      <c r="D972" s="156"/>
      <c r="E972" s="19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ht="15.75" customHeight="1">
      <c r="A973" s="156"/>
      <c r="B973" s="156"/>
      <c r="C973" s="156"/>
      <c r="D973" s="156"/>
      <c r="E973" s="19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ht="15.75" customHeight="1">
      <c r="A974" s="156"/>
      <c r="B974" s="156"/>
      <c r="C974" s="156"/>
      <c r="D974" s="156"/>
      <c r="E974" s="19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ht="15.75" customHeight="1">
      <c r="A975" s="156"/>
      <c r="B975" s="156"/>
      <c r="C975" s="156"/>
      <c r="D975" s="156"/>
      <c r="E975" s="19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ht="15.75" customHeight="1">
      <c r="A976" s="156"/>
      <c r="B976" s="156"/>
      <c r="C976" s="156"/>
      <c r="D976" s="156"/>
      <c r="E976" s="19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ht="15.75" customHeight="1">
      <c r="A977" s="156"/>
      <c r="B977" s="156"/>
      <c r="C977" s="156"/>
      <c r="D977" s="156"/>
      <c r="E977" s="19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ht="15.75" customHeight="1">
      <c r="A978" s="156"/>
      <c r="B978" s="156"/>
      <c r="C978" s="156"/>
      <c r="D978" s="156"/>
      <c r="E978" s="19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ht="15.75" customHeight="1">
      <c r="A979" s="156"/>
      <c r="B979" s="156"/>
      <c r="C979" s="156"/>
      <c r="D979" s="156"/>
      <c r="E979" s="19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ht="15.75" customHeight="1">
      <c r="A980" s="156"/>
      <c r="B980" s="156"/>
      <c r="C980" s="156"/>
      <c r="D980" s="156"/>
      <c r="E980" s="19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ht="15.75" customHeight="1">
      <c r="A981" s="156"/>
      <c r="B981" s="156"/>
      <c r="C981" s="156"/>
      <c r="D981" s="156"/>
      <c r="E981" s="19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ht="15.75" customHeight="1">
      <c r="A982" s="156"/>
      <c r="B982" s="156"/>
      <c r="C982" s="156"/>
      <c r="D982" s="156"/>
      <c r="E982" s="19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ht="15.75" customHeight="1">
      <c r="A983" s="156"/>
      <c r="B983" s="156"/>
      <c r="C983" s="156"/>
      <c r="D983" s="156"/>
      <c r="E983" s="19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ht="15.75" customHeight="1">
      <c r="A984" s="156"/>
      <c r="B984" s="156"/>
      <c r="C984" s="156"/>
      <c r="D984" s="156"/>
      <c r="E984" s="19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ht="15.75" customHeight="1">
      <c r="A985" s="156"/>
      <c r="B985" s="156"/>
      <c r="C985" s="156"/>
      <c r="D985" s="156"/>
      <c r="E985" s="19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ht="15.75" customHeight="1">
      <c r="A986" s="156"/>
      <c r="B986" s="156"/>
      <c r="C986" s="156"/>
      <c r="D986" s="156"/>
      <c r="E986" s="19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ht="15.75" customHeight="1">
      <c r="A987" s="156"/>
      <c r="B987" s="156"/>
      <c r="C987" s="156"/>
      <c r="D987" s="156"/>
      <c r="E987" s="19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ht="15.75" customHeight="1">
      <c r="A988" s="156"/>
      <c r="B988" s="156"/>
      <c r="C988" s="156"/>
      <c r="D988" s="156"/>
      <c r="E988" s="19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ht="15.75" customHeight="1">
      <c r="A989" s="156"/>
      <c r="B989" s="156"/>
      <c r="C989" s="156"/>
      <c r="D989" s="156"/>
      <c r="E989" s="19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ht="15.75" customHeight="1">
      <c r="A990" s="156"/>
      <c r="B990" s="156"/>
      <c r="C990" s="156"/>
      <c r="D990" s="156"/>
      <c r="E990" s="19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ht="15.75" customHeight="1">
      <c r="A991" s="156"/>
      <c r="B991" s="156"/>
      <c r="C991" s="156"/>
      <c r="D991" s="156"/>
      <c r="E991" s="19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ht="15.75" customHeight="1">
      <c r="A992" s="156"/>
      <c r="B992" s="156"/>
      <c r="C992" s="156"/>
      <c r="D992" s="156"/>
      <c r="E992" s="19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ht="15.75" customHeight="1">
      <c r="A993" s="156"/>
      <c r="B993" s="156"/>
      <c r="C993" s="156"/>
      <c r="D993" s="156"/>
      <c r="E993" s="19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ht="15.75" customHeight="1">
      <c r="A994" s="156"/>
      <c r="B994" s="156"/>
      <c r="C994" s="156"/>
      <c r="D994" s="156"/>
      <c r="E994" s="19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ht="15.75" customHeight="1">
      <c r="A995" s="156"/>
      <c r="B995" s="156"/>
      <c r="C995" s="156"/>
      <c r="D995" s="156"/>
      <c r="E995" s="19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ht="15.75" customHeight="1">
      <c r="A996" s="156"/>
      <c r="B996" s="156"/>
      <c r="C996" s="156"/>
      <c r="D996" s="156"/>
      <c r="E996" s="19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ht="15.75" customHeight="1">
      <c r="A997" s="156"/>
      <c r="B997" s="156"/>
      <c r="C997" s="156"/>
      <c r="D997" s="156"/>
      <c r="E997" s="19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ht="15.75" customHeight="1">
      <c r="A998" s="156"/>
      <c r="B998" s="156"/>
      <c r="C998" s="156"/>
      <c r="D998" s="156"/>
      <c r="E998" s="19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ht="15.75" customHeight="1">
      <c r="A999" s="156"/>
      <c r="B999" s="156"/>
      <c r="C999" s="156"/>
      <c r="D999" s="156"/>
      <c r="E999" s="19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ht="15.75" customHeight="1">
      <c r="A1000" s="156"/>
      <c r="B1000" s="156"/>
      <c r="C1000" s="156"/>
      <c r="D1000" s="156"/>
      <c r="E1000" s="19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row r="1001" ht="15.75" customHeight="1">
      <c r="A1001" s="156"/>
      <c r="B1001" s="156"/>
      <c r="C1001" s="156"/>
      <c r="D1001" s="156"/>
      <c r="E1001" s="19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row>
    <row r="1002" ht="15.75" customHeight="1">
      <c r="A1002" s="156"/>
      <c r="B1002" s="156"/>
      <c r="C1002" s="156"/>
      <c r="D1002" s="156"/>
      <c r="E1002" s="19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row>
    <row r="1003" ht="15.75" customHeight="1">
      <c r="A1003" s="156"/>
      <c r="B1003" s="156"/>
      <c r="C1003" s="156"/>
      <c r="D1003" s="156"/>
      <c r="E1003" s="196"/>
      <c r="F1003" s="156"/>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row>
    <row r="1004" ht="15.75" customHeight="1">
      <c r="A1004" s="156"/>
      <c r="B1004" s="156"/>
      <c r="C1004" s="156"/>
      <c r="D1004" s="156"/>
      <c r="E1004" s="196"/>
      <c r="F1004" s="156"/>
      <c r="G1004" s="156"/>
      <c r="H1004" s="156"/>
      <c r="I1004" s="156"/>
      <c r="J1004" s="156"/>
      <c r="K1004" s="156"/>
      <c r="L1004" s="156"/>
      <c r="M1004" s="156"/>
      <c r="N1004" s="156"/>
      <c r="O1004" s="156"/>
      <c r="P1004" s="156"/>
      <c r="Q1004" s="156"/>
      <c r="R1004" s="156"/>
      <c r="S1004" s="156"/>
      <c r="T1004" s="156"/>
      <c r="U1004" s="156"/>
      <c r="V1004" s="156"/>
      <c r="W1004" s="156"/>
      <c r="X1004" s="156"/>
      <c r="Y1004" s="156"/>
      <c r="Z1004" s="156"/>
    </row>
    <row r="1005" ht="15.75" customHeight="1">
      <c r="A1005" s="156"/>
      <c r="B1005" s="156"/>
      <c r="C1005" s="156"/>
      <c r="D1005" s="156"/>
      <c r="E1005" s="196"/>
      <c r="F1005" s="156"/>
      <c r="G1005" s="156"/>
      <c r="H1005" s="156"/>
      <c r="I1005" s="156"/>
      <c r="J1005" s="156"/>
      <c r="K1005" s="156"/>
      <c r="L1005" s="156"/>
      <c r="M1005" s="156"/>
      <c r="N1005" s="156"/>
      <c r="O1005" s="156"/>
      <c r="P1005" s="156"/>
      <c r="Q1005" s="156"/>
      <c r="R1005" s="156"/>
      <c r="S1005" s="156"/>
      <c r="T1005" s="156"/>
      <c r="U1005" s="156"/>
      <c r="V1005" s="156"/>
      <c r="W1005" s="156"/>
      <c r="X1005" s="156"/>
      <c r="Y1005" s="156"/>
      <c r="Z1005" s="156"/>
    </row>
    <row r="1006" ht="15.75" customHeight="1">
      <c r="A1006" s="156"/>
      <c r="B1006" s="156"/>
      <c r="C1006" s="156"/>
      <c r="D1006" s="156"/>
      <c r="E1006" s="196"/>
      <c r="F1006" s="156"/>
      <c r="G1006" s="156"/>
      <c r="H1006" s="156"/>
      <c r="I1006" s="156"/>
      <c r="J1006" s="156"/>
      <c r="K1006" s="156"/>
      <c r="L1006" s="156"/>
      <c r="M1006" s="156"/>
      <c r="N1006" s="156"/>
      <c r="O1006" s="156"/>
      <c r="P1006" s="156"/>
      <c r="Q1006" s="156"/>
      <c r="R1006" s="156"/>
      <c r="S1006" s="156"/>
      <c r="T1006" s="156"/>
      <c r="U1006" s="156"/>
      <c r="V1006" s="156"/>
      <c r="W1006" s="156"/>
      <c r="X1006" s="156"/>
      <c r="Y1006" s="156"/>
      <c r="Z1006" s="156"/>
    </row>
    <row r="1007" ht="15.75" customHeight="1">
      <c r="A1007" s="156"/>
      <c r="B1007" s="156"/>
      <c r="C1007" s="156"/>
      <c r="D1007" s="156"/>
      <c r="E1007" s="196"/>
      <c r="F1007" s="156"/>
      <c r="G1007" s="156"/>
      <c r="H1007" s="156"/>
      <c r="I1007" s="156"/>
      <c r="J1007" s="156"/>
      <c r="K1007" s="156"/>
      <c r="L1007" s="156"/>
      <c r="M1007" s="156"/>
      <c r="N1007" s="156"/>
      <c r="O1007" s="156"/>
      <c r="P1007" s="156"/>
      <c r="Q1007" s="156"/>
      <c r="R1007" s="156"/>
      <c r="S1007" s="156"/>
      <c r="T1007" s="156"/>
      <c r="U1007" s="156"/>
      <c r="V1007" s="156"/>
      <c r="W1007" s="156"/>
      <c r="X1007" s="156"/>
      <c r="Y1007" s="156"/>
      <c r="Z1007" s="156"/>
    </row>
    <row r="1008" ht="15.75" customHeight="1">
      <c r="A1008" s="156"/>
      <c r="B1008" s="156"/>
      <c r="C1008" s="156"/>
      <c r="D1008" s="156"/>
      <c r="E1008" s="196"/>
      <c r="F1008" s="156"/>
      <c r="G1008" s="156"/>
      <c r="H1008" s="156"/>
      <c r="I1008" s="156"/>
      <c r="J1008" s="156"/>
      <c r="K1008" s="156"/>
      <c r="L1008" s="156"/>
      <c r="M1008" s="156"/>
      <c r="N1008" s="156"/>
      <c r="O1008" s="156"/>
      <c r="P1008" s="156"/>
      <c r="Q1008" s="156"/>
      <c r="R1008" s="156"/>
      <c r="S1008" s="156"/>
      <c r="T1008" s="156"/>
      <c r="U1008" s="156"/>
      <c r="V1008" s="156"/>
      <c r="W1008" s="156"/>
      <c r="X1008" s="156"/>
      <c r="Y1008" s="156"/>
      <c r="Z1008" s="156"/>
    </row>
    <row r="1009" ht="15.75" customHeight="1">
      <c r="A1009" s="156"/>
      <c r="B1009" s="156"/>
      <c r="C1009" s="156"/>
      <c r="D1009" s="156"/>
      <c r="E1009" s="196"/>
      <c r="F1009" s="156"/>
      <c r="G1009" s="156"/>
      <c r="H1009" s="156"/>
      <c r="I1009" s="156"/>
      <c r="J1009" s="156"/>
      <c r="K1009" s="156"/>
      <c r="L1009" s="156"/>
      <c r="M1009" s="156"/>
      <c r="N1009" s="156"/>
      <c r="O1009" s="156"/>
      <c r="P1009" s="156"/>
      <c r="Q1009" s="156"/>
      <c r="R1009" s="156"/>
      <c r="S1009" s="156"/>
      <c r="T1009" s="156"/>
      <c r="U1009" s="156"/>
      <c r="V1009" s="156"/>
      <c r="W1009" s="156"/>
      <c r="X1009" s="156"/>
      <c r="Y1009" s="156"/>
      <c r="Z1009" s="156"/>
    </row>
    <row r="1010" ht="15.75" customHeight="1">
      <c r="A1010" s="156"/>
      <c r="B1010" s="156"/>
      <c r="C1010" s="156"/>
      <c r="D1010" s="156"/>
      <c r="E1010" s="196"/>
      <c r="F1010" s="156"/>
      <c r="G1010" s="156"/>
      <c r="H1010" s="156"/>
      <c r="I1010" s="156"/>
      <c r="J1010" s="156"/>
      <c r="K1010" s="156"/>
      <c r="L1010" s="156"/>
      <c r="M1010" s="156"/>
      <c r="N1010" s="156"/>
      <c r="O1010" s="156"/>
      <c r="P1010" s="156"/>
      <c r="Q1010" s="156"/>
      <c r="R1010" s="156"/>
      <c r="S1010" s="156"/>
      <c r="T1010" s="156"/>
      <c r="U1010" s="156"/>
      <c r="V1010" s="156"/>
      <c r="W1010" s="156"/>
      <c r="X1010" s="156"/>
      <c r="Y1010" s="156"/>
      <c r="Z1010" s="156"/>
    </row>
    <row r="1011" ht="15.75" customHeight="1">
      <c r="A1011" s="156"/>
      <c r="B1011" s="156"/>
      <c r="C1011" s="156"/>
      <c r="D1011" s="156"/>
      <c r="E1011" s="196"/>
      <c r="F1011" s="156"/>
      <c r="G1011" s="156"/>
      <c r="H1011" s="156"/>
      <c r="I1011" s="156"/>
      <c r="J1011" s="156"/>
      <c r="K1011" s="156"/>
      <c r="L1011" s="156"/>
      <c r="M1011" s="156"/>
      <c r="N1011" s="156"/>
      <c r="O1011" s="156"/>
      <c r="P1011" s="156"/>
      <c r="Q1011" s="156"/>
      <c r="R1011" s="156"/>
      <c r="S1011" s="156"/>
      <c r="T1011" s="156"/>
      <c r="U1011" s="156"/>
      <c r="V1011" s="156"/>
      <c r="W1011" s="156"/>
      <c r="X1011" s="156"/>
      <c r="Y1011" s="156"/>
      <c r="Z1011" s="156"/>
    </row>
    <row r="1012" ht="15.75" customHeight="1">
      <c r="A1012" s="156"/>
      <c r="B1012" s="156"/>
      <c r="C1012" s="156"/>
      <c r="D1012" s="156"/>
      <c r="E1012" s="196"/>
      <c r="F1012" s="156"/>
      <c r="G1012" s="156"/>
      <c r="H1012" s="156"/>
      <c r="I1012" s="156"/>
      <c r="J1012" s="156"/>
      <c r="K1012" s="156"/>
      <c r="L1012" s="156"/>
      <c r="M1012" s="156"/>
      <c r="N1012" s="156"/>
      <c r="O1012" s="156"/>
      <c r="P1012" s="156"/>
      <c r="Q1012" s="156"/>
      <c r="R1012" s="156"/>
      <c r="S1012" s="156"/>
      <c r="T1012" s="156"/>
      <c r="U1012" s="156"/>
      <c r="V1012" s="156"/>
      <c r="W1012" s="156"/>
      <c r="X1012" s="156"/>
      <c r="Y1012" s="156"/>
      <c r="Z1012" s="156"/>
    </row>
    <row r="1013" ht="15.75" customHeight="1">
      <c r="A1013" s="156"/>
      <c r="B1013" s="156"/>
      <c r="C1013" s="156"/>
      <c r="D1013" s="156"/>
      <c r="E1013" s="196"/>
      <c r="F1013" s="156"/>
      <c r="G1013" s="156"/>
      <c r="H1013" s="156"/>
      <c r="I1013" s="156"/>
      <c r="J1013" s="156"/>
      <c r="K1013" s="156"/>
      <c r="L1013" s="156"/>
      <c r="M1013" s="156"/>
      <c r="N1013" s="156"/>
      <c r="O1013" s="156"/>
      <c r="P1013" s="156"/>
      <c r="Q1013" s="156"/>
      <c r="R1013" s="156"/>
      <c r="S1013" s="156"/>
      <c r="T1013" s="156"/>
      <c r="U1013" s="156"/>
      <c r="V1013" s="156"/>
      <c r="W1013" s="156"/>
      <c r="X1013" s="156"/>
      <c r="Y1013" s="156"/>
      <c r="Z1013" s="156"/>
    </row>
    <row r="1014" ht="15.75" customHeight="1">
      <c r="A1014" s="156"/>
      <c r="B1014" s="156"/>
      <c r="C1014" s="156"/>
      <c r="D1014" s="156"/>
      <c r="E1014" s="196"/>
      <c r="F1014" s="156"/>
      <c r="G1014" s="156"/>
      <c r="H1014" s="156"/>
      <c r="I1014" s="156"/>
      <c r="J1014" s="156"/>
      <c r="K1014" s="156"/>
      <c r="L1014" s="156"/>
      <c r="M1014" s="156"/>
      <c r="N1014" s="156"/>
      <c r="O1014" s="156"/>
      <c r="P1014" s="156"/>
      <c r="Q1014" s="156"/>
      <c r="R1014" s="156"/>
      <c r="S1014" s="156"/>
      <c r="T1014" s="156"/>
      <c r="U1014" s="156"/>
      <c r="V1014" s="156"/>
      <c r="W1014" s="156"/>
      <c r="X1014" s="156"/>
      <c r="Y1014" s="156"/>
      <c r="Z1014" s="156"/>
    </row>
    <row r="1015" ht="15.75" customHeight="1">
      <c r="A1015" s="156"/>
      <c r="B1015" s="156"/>
      <c r="C1015" s="156"/>
      <c r="D1015" s="156"/>
      <c r="E1015" s="196"/>
      <c r="F1015" s="156"/>
      <c r="G1015" s="156"/>
      <c r="H1015" s="156"/>
      <c r="I1015" s="156"/>
      <c r="J1015" s="156"/>
      <c r="K1015" s="156"/>
      <c r="L1015" s="156"/>
      <c r="M1015" s="156"/>
      <c r="N1015" s="156"/>
      <c r="O1015" s="156"/>
      <c r="P1015" s="156"/>
      <c r="Q1015" s="156"/>
      <c r="R1015" s="156"/>
      <c r="S1015" s="156"/>
      <c r="T1015" s="156"/>
      <c r="U1015" s="156"/>
      <c r="V1015" s="156"/>
      <c r="W1015" s="156"/>
      <c r="X1015" s="156"/>
      <c r="Y1015" s="156"/>
      <c r="Z1015" s="156"/>
    </row>
    <row r="1016" ht="15.75" customHeight="1">
      <c r="A1016" s="156"/>
      <c r="B1016" s="156"/>
      <c r="C1016" s="156"/>
      <c r="D1016" s="156"/>
      <c r="E1016" s="196"/>
      <c r="F1016" s="156"/>
      <c r="G1016" s="156"/>
      <c r="H1016" s="156"/>
      <c r="I1016" s="156"/>
      <c r="J1016" s="156"/>
      <c r="K1016" s="156"/>
      <c r="L1016" s="156"/>
      <c r="M1016" s="156"/>
      <c r="N1016" s="156"/>
      <c r="O1016" s="156"/>
      <c r="P1016" s="156"/>
      <c r="Q1016" s="156"/>
      <c r="R1016" s="156"/>
      <c r="S1016" s="156"/>
      <c r="T1016" s="156"/>
      <c r="U1016" s="156"/>
      <c r="V1016" s="156"/>
      <c r="W1016" s="156"/>
      <c r="X1016" s="156"/>
      <c r="Y1016" s="156"/>
      <c r="Z1016" s="156"/>
    </row>
    <row r="1017" ht="15.75" customHeight="1">
      <c r="A1017" s="156"/>
      <c r="B1017" s="156"/>
      <c r="C1017" s="156"/>
      <c r="D1017" s="156"/>
      <c r="E1017" s="196"/>
      <c r="F1017" s="156"/>
      <c r="G1017" s="156"/>
      <c r="H1017" s="156"/>
      <c r="I1017" s="156"/>
      <c r="J1017" s="156"/>
      <c r="K1017" s="156"/>
      <c r="L1017" s="156"/>
      <c r="M1017" s="156"/>
      <c r="N1017" s="156"/>
      <c r="O1017" s="156"/>
      <c r="P1017" s="156"/>
      <c r="Q1017" s="156"/>
      <c r="R1017" s="156"/>
      <c r="S1017" s="156"/>
      <c r="T1017" s="156"/>
      <c r="U1017" s="156"/>
      <c r="V1017" s="156"/>
      <c r="W1017" s="156"/>
      <c r="X1017" s="156"/>
      <c r="Y1017" s="156"/>
      <c r="Z1017" s="156"/>
    </row>
    <row r="1018" ht="15.75" customHeight="1">
      <c r="A1018" s="156"/>
      <c r="B1018" s="156"/>
      <c r="C1018" s="156"/>
      <c r="D1018" s="156"/>
      <c r="E1018" s="196"/>
      <c r="F1018" s="156"/>
      <c r="G1018" s="156"/>
      <c r="H1018" s="156"/>
      <c r="I1018" s="156"/>
      <c r="J1018" s="156"/>
      <c r="K1018" s="156"/>
      <c r="L1018" s="156"/>
      <c r="M1018" s="156"/>
      <c r="N1018" s="156"/>
      <c r="O1018" s="156"/>
      <c r="P1018" s="156"/>
      <c r="Q1018" s="156"/>
      <c r="R1018" s="156"/>
      <c r="S1018" s="156"/>
      <c r="T1018" s="156"/>
      <c r="U1018" s="156"/>
      <c r="V1018" s="156"/>
      <c r="W1018" s="156"/>
      <c r="X1018" s="156"/>
      <c r="Y1018" s="156"/>
      <c r="Z1018" s="156"/>
    </row>
    <row r="1019" ht="15.75" customHeight="1">
      <c r="A1019" s="156"/>
      <c r="B1019" s="156"/>
      <c r="C1019" s="156"/>
      <c r="D1019" s="156"/>
      <c r="E1019" s="196"/>
      <c r="F1019" s="156"/>
      <c r="G1019" s="156"/>
      <c r="H1019" s="156"/>
      <c r="I1019" s="156"/>
      <c r="J1019" s="156"/>
      <c r="K1019" s="156"/>
      <c r="L1019" s="156"/>
      <c r="M1019" s="156"/>
      <c r="N1019" s="156"/>
      <c r="O1019" s="156"/>
      <c r="P1019" s="156"/>
      <c r="Q1019" s="156"/>
      <c r="R1019" s="156"/>
      <c r="S1019" s="156"/>
      <c r="T1019" s="156"/>
      <c r="U1019" s="156"/>
      <c r="V1019" s="156"/>
      <c r="W1019" s="156"/>
      <c r="X1019" s="156"/>
      <c r="Y1019" s="156"/>
      <c r="Z1019" s="156"/>
    </row>
    <row r="1020" ht="15.75" customHeight="1">
      <c r="A1020" s="156"/>
      <c r="B1020" s="156"/>
      <c r="C1020" s="156"/>
      <c r="D1020" s="156"/>
      <c r="E1020" s="196"/>
      <c r="F1020" s="156"/>
      <c r="G1020" s="156"/>
      <c r="H1020" s="156"/>
      <c r="I1020" s="156"/>
      <c r="J1020" s="156"/>
      <c r="K1020" s="156"/>
      <c r="L1020" s="156"/>
      <c r="M1020" s="156"/>
      <c r="N1020" s="156"/>
      <c r="O1020" s="156"/>
      <c r="P1020" s="156"/>
      <c r="Q1020" s="156"/>
      <c r="R1020" s="156"/>
      <c r="S1020" s="156"/>
      <c r="T1020" s="156"/>
      <c r="U1020" s="156"/>
      <c r="V1020" s="156"/>
      <c r="W1020" s="156"/>
      <c r="X1020" s="156"/>
      <c r="Y1020" s="156"/>
      <c r="Z1020" s="156"/>
    </row>
    <row r="1021" ht="15.75" customHeight="1">
      <c r="A1021" s="156"/>
      <c r="B1021" s="156"/>
      <c r="C1021" s="156"/>
      <c r="D1021" s="156"/>
      <c r="E1021" s="196"/>
      <c r="F1021" s="156"/>
      <c r="G1021" s="156"/>
      <c r="H1021" s="156"/>
      <c r="I1021" s="156"/>
      <c r="J1021" s="156"/>
      <c r="K1021" s="156"/>
      <c r="L1021" s="156"/>
      <c r="M1021" s="156"/>
      <c r="N1021" s="156"/>
      <c r="O1021" s="156"/>
      <c r="P1021" s="156"/>
      <c r="Q1021" s="156"/>
      <c r="R1021" s="156"/>
      <c r="S1021" s="156"/>
      <c r="T1021" s="156"/>
      <c r="U1021" s="156"/>
      <c r="V1021" s="156"/>
      <c r="W1021" s="156"/>
      <c r="X1021" s="156"/>
      <c r="Y1021" s="156"/>
      <c r="Z1021" s="156"/>
    </row>
    <row r="1022" ht="15.75" customHeight="1">
      <c r="A1022" s="156"/>
      <c r="B1022" s="156"/>
      <c r="C1022" s="156"/>
      <c r="D1022" s="156"/>
      <c r="E1022" s="196"/>
      <c r="F1022" s="156"/>
      <c r="G1022" s="156"/>
      <c r="H1022" s="156"/>
      <c r="I1022" s="156"/>
      <c r="J1022" s="156"/>
      <c r="K1022" s="156"/>
      <c r="L1022" s="156"/>
      <c r="M1022" s="156"/>
      <c r="N1022" s="156"/>
      <c r="O1022" s="156"/>
      <c r="P1022" s="156"/>
      <c r="Q1022" s="156"/>
      <c r="R1022" s="156"/>
      <c r="S1022" s="156"/>
      <c r="T1022" s="156"/>
      <c r="U1022" s="156"/>
      <c r="V1022" s="156"/>
      <c r="W1022" s="156"/>
      <c r="X1022" s="156"/>
      <c r="Y1022" s="156"/>
      <c r="Z1022" s="156"/>
    </row>
    <row r="1023" ht="15.75" customHeight="1">
      <c r="A1023" s="156"/>
      <c r="B1023" s="156"/>
      <c r="C1023" s="156"/>
      <c r="D1023" s="156"/>
      <c r="E1023" s="196"/>
      <c r="F1023" s="156"/>
      <c r="G1023" s="156"/>
      <c r="H1023" s="156"/>
      <c r="I1023" s="156"/>
      <c r="J1023" s="156"/>
      <c r="K1023" s="156"/>
      <c r="L1023" s="156"/>
      <c r="M1023" s="156"/>
      <c r="N1023" s="156"/>
      <c r="O1023" s="156"/>
      <c r="P1023" s="156"/>
      <c r="Q1023" s="156"/>
      <c r="R1023" s="156"/>
      <c r="S1023" s="156"/>
      <c r="T1023" s="156"/>
      <c r="U1023" s="156"/>
      <c r="V1023" s="156"/>
      <c r="W1023" s="156"/>
      <c r="X1023" s="156"/>
      <c r="Y1023" s="156"/>
      <c r="Z1023" s="156"/>
    </row>
    <row r="1024" ht="15.75" customHeight="1">
      <c r="A1024" s="156"/>
      <c r="B1024" s="156"/>
      <c r="C1024" s="156"/>
      <c r="D1024" s="156"/>
      <c r="E1024" s="196"/>
      <c r="F1024" s="156"/>
      <c r="G1024" s="156"/>
      <c r="H1024" s="156"/>
      <c r="I1024" s="156"/>
      <c r="J1024" s="156"/>
      <c r="K1024" s="156"/>
      <c r="L1024" s="156"/>
      <c r="M1024" s="156"/>
      <c r="N1024" s="156"/>
      <c r="O1024" s="156"/>
      <c r="P1024" s="156"/>
      <c r="Q1024" s="156"/>
      <c r="R1024" s="156"/>
      <c r="S1024" s="156"/>
      <c r="T1024" s="156"/>
      <c r="U1024" s="156"/>
      <c r="V1024" s="156"/>
      <c r="W1024" s="156"/>
      <c r="X1024" s="156"/>
      <c r="Y1024" s="156"/>
      <c r="Z1024" s="156"/>
    </row>
    <row r="1025" ht="15.75" customHeight="1">
      <c r="A1025" s="156"/>
      <c r="B1025" s="156"/>
      <c r="C1025" s="156"/>
      <c r="D1025" s="156"/>
      <c r="E1025" s="196"/>
      <c r="F1025" s="156"/>
      <c r="G1025" s="156"/>
      <c r="H1025" s="156"/>
      <c r="I1025" s="156"/>
      <c r="J1025" s="156"/>
      <c r="K1025" s="156"/>
      <c r="L1025" s="156"/>
      <c r="M1025" s="156"/>
      <c r="N1025" s="156"/>
      <c r="O1025" s="156"/>
      <c r="P1025" s="156"/>
      <c r="Q1025" s="156"/>
      <c r="R1025" s="156"/>
      <c r="S1025" s="156"/>
      <c r="T1025" s="156"/>
      <c r="U1025" s="156"/>
      <c r="V1025" s="156"/>
      <c r="W1025" s="156"/>
      <c r="X1025" s="156"/>
      <c r="Y1025" s="156"/>
      <c r="Z1025" s="156"/>
    </row>
    <row r="1026" ht="15.75" customHeight="1">
      <c r="A1026" s="156"/>
      <c r="B1026" s="156"/>
      <c r="C1026" s="156"/>
      <c r="D1026" s="156"/>
      <c r="E1026" s="196"/>
      <c r="F1026" s="156"/>
      <c r="G1026" s="156"/>
      <c r="H1026" s="156"/>
      <c r="I1026" s="156"/>
      <c r="J1026" s="156"/>
      <c r="K1026" s="156"/>
      <c r="L1026" s="156"/>
      <c r="M1026" s="156"/>
      <c r="N1026" s="156"/>
      <c r="O1026" s="156"/>
      <c r="P1026" s="156"/>
      <c r="Q1026" s="156"/>
      <c r="R1026" s="156"/>
      <c r="S1026" s="156"/>
      <c r="T1026" s="156"/>
      <c r="U1026" s="156"/>
      <c r="V1026" s="156"/>
      <c r="W1026" s="156"/>
      <c r="X1026" s="156"/>
      <c r="Y1026" s="156"/>
      <c r="Z1026" s="156"/>
    </row>
    <row r="1027" ht="15.75" customHeight="1">
      <c r="A1027" s="156"/>
      <c r="B1027" s="156"/>
      <c r="C1027" s="156"/>
      <c r="D1027" s="156"/>
      <c r="E1027" s="196"/>
      <c r="F1027" s="156"/>
      <c r="G1027" s="156"/>
      <c r="H1027" s="156"/>
      <c r="I1027" s="156"/>
      <c r="J1027" s="156"/>
      <c r="K1027" s="156"/>
      <c r="L1027" s="156"/>
      <c r="M1027" s="156"/>
      <c r="N1027" s="156"/>
      <c r="O1027" s="156"/>
      <c r="P1027" s="156"/>
      <c r="Q1027" s="156"/>
      <c r="R1027" s="156"/>
      <c r="S1027" s="156"/>
      <c r="T1027" s="156"/>
      <c r="U1027" s="156"/>
      <c r="V1027" s="156"/>
      <c r="W1027" s="156"/>
      <c r="X1027" s="156"/>
      <c r="Y1027" s="156"/>
      <c r="Z1027" s="156"/>
    </row>
    <row r="1028" ht="15.75" customHeight="1">
      <c r="A1028" s="156"/>
      <c r="B1028" s="156"/>
      <c r="C1028" s="156"/>
      <c r="D1028" s="156"/>
      <c r="E1028" s="196"/>
      <c r="F1028" s="156"/>
      <c r="G1028" s="156"/>
      <c r="H1028" s="156"/>
      <c r="I1028" s="156"/>
      <c r="J1028" s="156"/>
      <c r="K1028" s="156"/>
      <c r="L1028" s="156"/>
      <c r="M1028" s="156"/>
      <c r="N1028" s="156"/>
      <c r="O1028" s="156"/>
      <c r="P1028" s="156"/>
      <c r="Q1028" s="156"/>
      <c r="R1028" s="156"/>
      <c r="S1028" s="156"/>
      <c r="T1028" s="156"/>
      <c r="U1028" s="156"/>
      <c r="V1028" s="156"/>
      <c r="W1028" s="156"/>
      <c r="X1028" s="156"/>
      <c r="Y1028" s="156"/>
      <c r="Z1028" s="156"/>
    </row>
    <row r="1029" ht="15.75" customHeight="1">
      <c r="A1029" s="156"/>
      <c r="B1029" s="156"/>
      <c r="C1029" s="156"/>
      <c r="D1029" s="156"/>
      <c r="E1029" s="196"/>
      <c r="F1029" s="156"/>
      <c r="G1029" s="156"/>
      <c r="H1029" s="156"/>
      <c r="I1029" s="156"/>
      <c r="J1029" s="156"/>
      <c r="K1029" s="156"/>
      <c r="L1029" s="156"/>
      <c r="M1029" s="156"/>
      <c r="N1029" s="156"/>
      <c r="O1029" s="156"/>
      <c r="P1029" s="156"/>
      <c r="Q1029" s="156"/>
      <c r="R1029" s="156"/>
      <c r="S1029" s="156"/>
      <c r="T1029" s="156"/>
      <c r="U1029" s="156"/>
      <c r="V1029" s="156"/>
      <c r="W1029" s="156"/>
      <c r="X1029" s="156"/>
      <c r="Y1029" s="156"/>
      <c r="Z1029" s="156"/>
    </row>
    <row r="1030" ht="15.75" customHeight="1">
      <c r="A1030" s="156"/>
      <c r="B1030" s="156"/>
      <c r="C1030" s="156"/>
      <c r="D1030" s="156"/>
      <c r="E1030" s="196"/>
      <c r="F1030" s="156"/>
      <c r="G1030" s="156"/>
      <c r="H1030" s="156"/>
      <c r="I1030" s="156"/>
      <c r="J1030" s="156"/>
      <c r="K1030" s="156"/>
      <c r="L1030" s="156"/>
      <c r="M1030" s="156"/>
      <c r="N1030" s="156"/>
      <c r="O1030" s="156"/>
      <c r="P1030" s="156"/>
      <c r="Q1030" s="156"/>
      <c r="R1030" s="156"/>
      <c r="S1030" s="156"/>
      <c r="T1030" s="156"/>
      <c r="U1030" s="156"/>
      <c r="V1030" s="156"/>
      <c r="W1030" s="156"/>
      <c r="X1030" s="156"/>
      <c r="Y1030" s="156"/>
      <c r="Z1030" s="156"/>
    </row>
    <row r="1031" ht="15.75" customHeight="1">
      <c r="A1031" s="156"/>
      <c r="B1031" s="156"/>
      <c r="C1031" s="156"/>
      <c r="D1031" s="156"/>
      <c r="E1031" s="196"/>
      <c r="F1031" s="156"/>
      <c r="G1031" s="156"/>
      <c r="H1031" s="156"/>
      <c r="I1031" s="156"/>
      <c r="J1031" s="156"/>
      <c r="K1031" s="156"/>
      <c r="L1031" s="156"/>
      <c r="M1031" s="156"/>
      <c r="N1031" s="156"/>
      <c r="O1031" s="156"/>
      <c r="P1031" s="156"/>
      <c r="Q1031" s="156"/>
      <c r="R1031" s="156"/>
      <c r="S1031" s="156"/>
      <c r="T1031" s="156"/>
      <c r="U1031" s="156"/>
      <c r="V1031" s="156"/>
      <c r="W1031" s="156"/>
      <c r="X1031" s="156"/>
      <c r="Y1031" s="156"/>
      <c r="Z1031" s="156"/>
    </row>
    <row r="1032" ht="15.75" customHeight="1">
      <c r="A1032" s="156"/>
      <c r="B1032" s="156"/>
      <c r="C1032" s="156"/>
      <c r="D1032" s="156"/>
      <c r="E1032" s="196"/>
      <c r="F1032" s="156"/>
      <c r="G1032" s="156"/>
      <c r="H1032" s="156"/>
      <c r="I1032" s="156"/>
      <c r="J1032" s="156"/>
      <c r="K1032" s="156"/>
      <c r="L1032" s="156"/>
      <c r="M1032" s="156"/>
      <c r="N1032" s="156"/>
      <c r="O1032" s="156"/>
      <c r="P1032" s="156"/>
      <c r="Q1032" s="156"/>
      <c r="R1032" s="156"/>
      <c r="S1032" s="156"/>
      <c r="T1032" s="156"/>
      <c r="U1032" s="156"/>
      <c r="V1032" s="156"/>
      <c r="W1032" s="156"/>
      <c r="X1032" s="156"/>
      <c r="Y1032" s="156"/>
      <c r="Z1032" s="156"/>
    </row>
    <row r="1033" ht="15.75" customHeight="1">
      <c r="A1033" s="156"/>
      <c r="B1033" s="156"/>
      <c r="C1033" s="156"/>
      <c r="D1033" s="156"/>
      <c r="E1033" s="196"/>
      <c r="F1033" s="156"/>
      <c r="G1033" s="156"/>
      <c r="H1033" s="156"/>
      <c r="I1033" s="156"/>
      <c r="J1033" s="156"/>
      <c r="K1033" s="156"/>
      <c r="L1033" s="156"/>
      <c r="M1033" s="156"/>
      <c r="N1033" s="156"/>
      <c r="O1033" s="156"/>
      <c r="P1033" s="156"/>
      <c r="Q1033" s="156"/>
      <c r="R1033" s="156"/>
      <c r="S1033" s="156"/>
      <c r="T1033" s="156"/>
      <c r="U1033" s="156"/>
      <c r="V1033" s="156"/>
      <c r="W1033" s="156"/>
      <c r="X1033" s="156"/>
      <c r="Y1033" s="156"/>
      <c r="Z1033" s="156"/>
    </row>
    <row r="1034" ht="15.75" customHeight="1">
      <c r="A1034" s="156"/>
      <c r="B1034" s="156"/>
      <c r="C1034" s="156"/>
      <c r="D1034" s="156"/>
      <c r="E1034" s="196"/>
      <c r="F1034" s="156"/>
      <c r="G1034" s="156"/>
      <c r="H1034" s="156"/>
      <c r="I1034" s="156"/>
      <c r="J1034" s="156"/>
      <c r="K1034" s="156"/>
      <c r="L1034" s="156"/>
      <c r="M1034" s="156"/>
      <c r="N1034" s="156"/>
      <c r="O1034" s="156"/>
      <c r="P1034" s="156"/>
      <c r="Q1034" s="156"/>
      <c r="R1034" s="156"/>
      <c r="S1034" s="156"/>
      <c r="T1034" s="156"/>
      <c r="U1034" s="156"/>
      <c r="V1034" s="156"/>
      <c r="W1034" s="156"/>
      <c r="X1034" s="156"/>
      <c r="Y1034" s="156"/>
      <c r="Z1034" s="156"/>
    </row>
    <row r="1035" ht="15.75" customHeight="1">
      <c r="A1035" s="156"/>
      <c r="B1035" s="156"/>
      <c r="C1035" s="156"/>
      <c r="D1035" s="156"/>
      <c r="E1035" s="196"/>
      <c r="F1035" s="156"/>
      <c r="G1035" s="156"/>
      <c r="H1035" s="156"/>
      <c r="I1035" s="156"/>
      <c r="J1035" s="156"/>
      <c r="K1035" s="156"/>
      <c r="L1035" s="156"/>
      <c r="M1035" s="156"/>
      <c r="N1035" s="156"/>
      <c r="O1035" s="156"/>
      <c r="P1035" s="156"/>
      <c r="Q1035" s="156"/>
      <c r="R1035" s="156"/>
      <c r="S1035" s="156"/>
      <c r="T1035" s="156"/>
      <c r="U1035" s="156"/>
      <c r="V1035" s="156"/>
      <c r="W1035" s="156"/>
      <c r="X1035" s="156"/>
      <c r="Y1035" s="156"/>
      <c r="Z1035" s="156"/>
    </row>
    <row r="1036" ht="15.75" customHeight="1">
      <c r="A1036" s="156"/>
      <c r="B1036" s="156"/>
      <c r="C1036" s="156"/>
      <c r="D1036" s="156"/>
      <c r="E1036" s="196"/>
      <c r="F1036" s="156"/>
      <c r="G1036" s="156"/>
      <c r="H1036" s="156"/>
      <c r="I1036" s="156"/>
      <c r="J1036" s="156"/>
      <c r="K1036" s="156"/>
      <c r="L1036" s="156"/>
      <c r="M1036" s="156"/>
      <c r="N1036" s="156"/>
      <c r="O1036" s="156"/>
      <c r="P1036" s="156"/>
      <c r="Q1036" s="156"/>
      <c r="R1036" s="156"/>
      <c r="S1036" s="156"/>
      <c r="T1036" s="156"/>
      <c r="U1036" s="156"/>
      <c r="V1036" s="156"/>
      <c r="W1036" s="156"/>
      <c r="X1036" s="156"/>
      <c r="Y1036" s="156"/>
      <c r="Z1036" s="156"/>
    </row>
    <row r="1037" ht="15.75" customHeight="1">
      <c r="A1037" s="156"/>
      <c r="B1037" s="156"/>
      <c r="C1037" s="156"/>
      <c r="D1037" s="156"/>
      <c r="E1037" s="196"/>
      <c r="F1037" s="156"/>
      <c r="G1037" s="156"/>
      <c r="H1037" s="156"/>
      <c r="I1037" s="156"/>
      <c r="J1037" s="156"/>
      <c r="K1037" s="156"/>
      <c r="L1037" s="156"/>
      <c r="M1037" s="156"/>
      <c r="N1037" s="156"/>
      <c r="O1037" s="156"/>
      <c r="P1037" s="156"/>
      <c r="Q1037" s="156"/>
      <c r="R1037" s="156"/>
      <c r="S1037" s="156"/>
      <c r="T1037" s="156"/>
      <c r="U1037" s="156"/>
      <c r="V1037" s="156"/>
      <c r="W1037" s="156"/>
      <c r="X1037" s="156"/>
      <c r="Y1037" s="156"/>
      <c r="Z1037" s="156"/>
    </row>
    <row r="1038" ht="15.75" customHeight="1">
      <c r="A1038" s="156"/>
      <c r="B1038" s="156"/>
      <c r="C1038" s="156"/>
      <c r="D1038" s="156"/>
      <c r="E1038" s="196"/>
      <c r="F1038" s="156"/>
      <c r="G1038" s="156"/>
      <c r="H1038" s="156"/>
      <c r="I1038" s="156"/>
      <c r="J1038" s="156"/>
      <c r="K1038" s="156"/>
      <c r="L1038" s="156"/>
      <c r="M1038" s="156"/>
      <c r="N1038" s="156"/>
      <c r="O1038" s="156"/>
      <c r="P1038" s="156"/>
      <c r="Q1038" s="156"/>
      <c r="R1038" s="156"/>
      <c r="S1038" s="156"/>
      <c r="T1038" s="156"/>
      <c r="U1038" s="156"/>
      <c r="V1038" s="156"/>
      <c r="W1038" s="156"/>
      <c r="X1038" s="156"/>
      <c r="Y1038" s="156"/>
      <c r="Z1038" s="156"/>
    </row>
    <row r="1039" ht="15.75" customHeight="1">
      <c r="A1039" s="156"/>
      <c r="B1039" s="156"/>
      <c r="C1039" s="156"/>
      <c r="D1039" s="156"/>
      <c r="E1039" s="196"/>
      <c r="F1039" s="156"/>
      <c r="G1039" s="156"/>
      <c r="H1039" s="156"/>
      <c r="I1039" s="156"/>
      <c r="J1039" s="156"/>
      <c r="K1039" s="156"/>
      <c r="L1039" s="156"/>
      <c r="M1039" s="156"/>
      <c r="N1039" s="156"/>
      <c r="O1039" s="156"/>
      <c r="P1039" s="156"/>
      <c r="Q1039" s="156"/>
      <c r="R1039" s="156"/>
      <c r="S1039" s="156"/>
      <c r="T1039" s="156"/>
      <c r="U1039" s="156"/>
      <c r="V1039" s="156"/>
      <c r="W1039" s="156"/>
      <c r="X1039" s="156"/>
      <c r="Y1039" s="156"/>
      <c r="Z1039" s="156"/>
    </row>
    <row r="1040" ht="15.75" customHeight="1">
      <c r="A1040" s="156"/>
      <c r="B1040" s="156"/>
      <c r="C1040" s="156"/>
      <c r="D1040" s="156"/>
      <c r="E1040" s="196"/>
      <c r="F1040" s="156"/>
      <c r="G1040" s="156"/>
      <c r="H1040" s="156"/>
      <c r="I1040" s="156"/>
      <c r="J1040" s="156"/>
      <c r="K1040" s="156"/>
      <c r="L1040" s="156"/>
      <c r="M1040" s="156"/>
      <c r="N1040" s="156"/>
      <c r="O1040" s="156"/>
      <c r="P1040" s="156"/>
      <c r="Q1040" s="156"/>
      <c r="R1040" s="156"/>
      <c r="S1040" s="156"/>
      <c r="T1040" s="156"/>
      <c r="U1040" s="156"/>
      <c r="V1040" s="156"/>
      <c r="W1040" s="156"/>
      <c r="X1040" s="156"/>
      <c r="Y1040" s="156"/>
      <c r="Z1040" s="156"/>
    </row>
    <row r="1041" ht="15.75" customHeight="1">
      <c r="A1041" s="156"/>
      <c r="B1041" s="156"/>
      <c r="C1041" s="156"/>
      <c r="D1041" s="156"/>
      <c r="E1041" s="196"/>
      <c r="F1041" s="156"/>
      <c r="G1041" s="156"/>
      <c r="H1041" s="156"/>
      <c r="I1041" s="156"/>
      <c r="J1041" s="156"/>
      <c r="K1041" s="156"/>
      <c r="L1041" s="156"/>
      <c r="M1041" s="156"/>
      <c r="N1041" s="156"/>
      <c r="O1041" s="156"/>
      <c r="P1041" s="156"/>
      <c r="Q1041" s="156"/>
      <c r="R1041" s="156"/>
      <c r="S1041" s="156"/>
      <c r="T1041" s="156"/>
      <c r="U1041" s="156"/>
      <c r="V1041" s="156"/>
      <c r="W1041" s="156"/>
      <c r="X1041" s="156"/>
      <c r="Y1041" s="156"/>
      <c r="Z1041" s="156"/>
    </row>
    <row r="1042" ht="15.75" customHeight="1">
      <c r="A1042" s="156"/>
      <c r="B1042" s="156"/>
      <c r="C1042" s="156"/>
      <c r="D1042" s="156"/>
      <c r="E1042" s="196"/>
      <c r="F1042" s="156"/>
      <c r="G1042" s="156"/>
      <c r="H1042" s="156"/>
      <c r="I1042" s="156"/>
      <c r="J1042" s="156"/>
      <c r="K1042" s="156"/>
      <c r="L1042" s="156"/>
      <c r="M1042" s="156"/>
      <c r="N1042" s="156"/>
      <c r="O1042" s="156"/>
      <c r="P1042" s="156"/>
      <c r="Q1042" s="156"/>
      <c r="R1042" s="156"/>
      <c r="S1042" s="156"/>
      <c r="T1042" s="156"/>
      <c r="U1042" s="156"/>
      <c r="V1042" s="156"/>
      <c r="W1042" s="156"/>
      <c r="X1042" s="156"/>
      <c r="Y1042" s="156"/>
      <c r="Z1042" s="156"/>
    </row>
    <row r="1043" ht="15.75" customHeight="1">
      <c r="A1043" s="156"/>
      <c r="B1043" s="156"/>
      <c r="C1043" s="156"/>
      <c r="D1043" s="156"/>
      <c r="E1043" s="196"/>
      <c r="F1043" s="156"/>
      <c r="G1043" s="156"/>
      <c r="H1043" s="156"/>
      <c r="I1043" s="156"/>
      <c r="J1043" s="156"/>
      <c r="K1043" s="156"/>
      <c r="L1043" s="156"/>
      <c r="M1043" s="156"/>
      <c r="N1043" s="156"/>
      <c r="O1043" s="156"/>
      <c r="P1043" s="156"/>
      <c r="Q1043" s="156"/>
      <c r="R1043" s="156"/>
      <c r="S1043" s="156"/>
      <c r="T1043" s="156"/>
      <c r="U1043" s="156"/>
      <c r="V1043" s="156"/>
      <c r="W1043" s="156"/>
      <c r="X1043" s="156"/>
      <c r="Y1043" s="156"/>
      <c r="Z1043" s="156"/>
    </row>
    <row r="1044" ht="15.75" customHeight="1">
      <c r="A1044" s="156"/>
      <c r="B1044" s="156"/>
      <c r="C1044" s="156"/>
      <c r="D1044" s="156"/>
      <c r="E1044" s="196"/>
      <c r="F1044" s="156"/>
      <c r="G1044" s="156"/>
      <c r="H1044" s="156"/>
      <c r="I1044" s="156"/>
      <c r="J1044" s="156"/>
      <c r="K1044" s="156"/>
      <c r="L1044" s="156"/>
      <c r="M1044" s="156"/>
      <c r="N1044" s="156"/>
      <c r="O1044" s="156"/>
      <c r="P1044" s="156"/>
      <c r="Q1044" s="156"/>
      <c r="R1044" s="156"/>
      <c r="S1044" s="156"/>
      <c r="T1044" s="156"/>
      <c r="U1044" s="156"/>
      <c r="V1044" s="156"/>
      <c r="W1044" s="156"/>
      <c r="X1044" s="156"/>
      <c r="Y1044" s="156"/>
      <c r="Z1044" s="156"/>
    </row>
  </sheetData>
  <mergeCells count="36">
    <mergeCell ref="A1:C1"/>
    <mergeCell ref="F1:G1"/>
    <mergeCell ref="A3:A4"/>
    <mergeCell ref="B3:B4"/>
    <mergeCell ref="A5:A7"/>
    <mergeCell ref="B5:B7"/>
    <mergeCell ref="B8:B9"/>
    <mergeCell ref="A8:A9"/>
    <mergeCell ref="A10:A13"/>
    <mergeCell ref="B10:B13"/>
    <mergeCell ref="A15:A23"/>
    <mergeCell ref="B15:B23"/>
    <mergeCell ref="A24:A30"/>
    <mergeCell ref="B24:B30"/>
    <mergeCell ref="A33:A34"/>
    <mergeCell ref="B33:B34"/>
    <mergeCell ref="A35:A41"/>
    <mergeCell ref="B35:B41"/>
    <mergeCell ref="A42:A43"/>
    <mergeCell ref="B42:B43"/>
    <mergeCell ref="B44:B45"/>
    <mergeCell ref="A67:A70"/>
    <mergeCell ref="B67:B70"/>
    <mergeCell ref="A72:A74"/>
    <mergeCell ref="B72:B74"/>
    <mergeCell ref="A90:A100"/>
    <mergeCell ref="B90:B100"/>
    <mergeCell ref="A106:A113"/>
    <mergeCell ref="B106:B113"/>
    <mergeCell ref="A44:A45"/>
    <mergeCell ref="A52:A53"/>
    <mergeCell ref="B52:B53"/>
    <mergeCell ref="A59:A63"/>
    <mergeCell ref="B59:B63"/>
    <mergeCell ref="A64:A65"/>
    <mergeCell ref="B64:B6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0"/>
    <col customWidth="1" min="2" max="2" width="15.63"/>
    <col customWidth="1" min="3" max="3" width="20.0"/>
    <col customWidth="1" min="4" max="4" width="20.5"/>
    <col customWidth="1" min="5" max="5" width="16.88"/>
    <col customWidth="1" min="6" max="6" width="12.63"/>
  </cols>
  <sheetData>
    <row r="1" ht="15.75" customHeight="1">
      <c r="A1" s="197" t="s">
        <v>258</v>
      </c>
      <c r="B1" s="40"/>
      <c r="C1" s="41"/>
      <c r="D1" s="198">
        <f>Summary!G5</f>
        <v>257</v>
      </c>
      <c r="E1" s="199"/>
      <c r="F1" s="200"/>
      <c r="G1" s="41"/>
      <c r="H1" s="199"/>
      <c r="I1" s="199"/>
      <c r="J1" s="199"/>
      <c r="K1" s="199"/>
      <c r="L1" s="199"/>
      <c r="M1" s="199"/>
      <c r="N1" s="199"/>
      <c r="O1" s="199"/>
      <c r="P1" s="199"/>
      <c r="Q1" s="199"/>
      <c r="R1" s="199"/>
      <c r="S1" s="199"/>
      <c r="T1" s="199"/>
      <c r="U1" s="199"/>
      <c r="V1" s="199"/>
      <c r="W1" s="199"/>
      <c r="X1" s="199"/>
      <c r="Y1" s="199"/>
      <c r="Z1" s="201"/>
    </row>
    <row r="2" ht="15.75" customHeight="1">
      <c r="A2" s="202" t="s">
        <v>28</v>
      </c>
      <c r="B2" s="202" t="s">
        <v>6</v>
      </c>
      <c r="C2" s="203" t="s">
        <v>74</v>
      </c>
      <c r="D2" s="203" t="s">
        <v>75</v>
      </c>
      <c r="E2" s="203" t="s">
        <v>76</v>
      </c>
      <c r="F2" s="199"/>
      <c r="G2" s="199"/>
      <c r="H2" s="199"/>
      <c r="I2" s="199"/>
      <c r="J2" s="199"/>
      <c r="K2" s="199"/>
      <c r="L2" s="199"/>
      <c r="M2" s="199"/>
      <c r="N2" s="199"/>
      <c r="O2" s="199"/>
      <c r="P2" s="199"/>
      <c r="Q2" s="199"/>
      <c r="R2" s="199"/>
      <c r="S2" s="199"/>
      <c r="T2" s="199"/>
      <c r="U2" s="199"/>
      <c r="V2" s="199"/>
      <c r="W2" s="199"/>
      <c r="X2" s="199"/>
      <c r="Y2" s="199"/>
      <c r="Z2" s="201"/>
    </row>
    <row r="3" ht="15.75" customHeight="1">
      <c r="A3" s="204">
        <v>45282.0</v>
      </c>
      <c r="B3" s="205" t="s">
        <v>77</v>
      </c>
      <c r="C3" s="206" t="s">
        <v>259</v>
      </c>
      <c r="D3" s="206" t="s">
        <v>260</v>
      </c>
      <c r="E3" s="207" t="s">
        <v>261</v>
      </c>
      <c r="F3" s="208"/>
      <c r="G3" s="208"/>
      <c r="H3" s="208"/>
      <c r="I3" s="208"/>
      <c r="J3" s="208"/>
      <c r="K3" s="208"/>
      <c r="L3" s="208"/>
      <c r="M3" s="208"/>
      <c r="N3" s="208"/>
      <c r="O3" s="208"/>
      <c r="P3" s="208"/>
      <c r="Q3" s="208"/>
      <c r="R3" s="208"/>
      <c r="S3" s="208"/>
      <c r="T3" s="208"/>
      <c r="U3" s="208"/>
      <c r="V3" s="208"/>
      <c r="W3" s="208"/>
      <c r="X3" s="208"/>
      <c r="Y3" s="208"/>
      <c r="Z3" s="209"/>
    </row>
    <row r="4" ht="15.75" customHeight="1">
      <c r="A4" s="44"/>
      <c r="B4" s="44"/>
      <c r="C4" s="206" t="s">
        <v>262</v>
      </c>
      <c r="D4" s="206" t="s">
        <v>263</v>
      </c>
      <c r="E4" s="207" t="s">
        <v>264</v>
      </c>
      <c r="F4" s="208"/>
      <c r="G4" s="208"/>
      <c r="H4" s="208"/>
      <c r="I4" s="208"/>
      <c r="J4" s="208"/>
      <c r="K4" s="208"/>
      <c r="L4" s="208"/>
      <c r="M4" s="208"/>
      <c r="N4" s="208"/>
      <c r="O4" s="208"/>
      <c r="P4" s="208"/>
      <c r="Q4" s="208"/>
      <c r="R4" s="208"/>
      <c r="S4" s="208"/>
      <c r="T4" s="208"/>
      <c r="U4" s="208"/>
      <c r="V4" s="208"/>
      <c r="W4" s="208"/>
      <c r="X4" s="208"/>
      <c r="Y4" s="208"/>
      <c r="Z4" s="209"/>
    </row>
    <row r="5" ht="15.75" customHeight="1">
      <c r="A5" s="44"/>
      <c r="B5" s="44"/>
      <c r="C5" s="206" t="s">
        <v>265</v>
      </c>
      <c r="D5" s="206" t="s">
        <v>266</v>
      </c>
      <c r="E5" s="207" t="s">
        <v>267</v>
      </c>
      <c r="F5" s="208"/>
      <c r="G5" s="208"/>
      <c r="H5" s="208"/>
      <c r="I5" s="208"/>
      <c r="J5" s="208"/>
      <c r="K5" s="208"/>
      <c r="L5" s="208"/>
      <c r="M5" s="208"/>
      <c r="N5" s="208"/>
      <c r="O5" s="208"/>
      <c r="P5" s="208"/>
      <c r="Q5" s="208"/>
      <c r="R5" s="208"/>
      <c r="S5" s="208"/>
      <c r="T5" s="208"/>
      <c r="U5" s="208"/>
      <c r="V5" s="208"/>
      <c r="W5" s="208"/>
      <c r="X5" s="208"/>
      <c r="Y5" s="208"/>
      <c r="Z5" s="209"/>
    </row>
    <row r="6" ht="15.75" customHeight="1">
      <c r="A6" s="44"/>
      <c r="B6" s="44"/>
      <c r="C6" s="206" t="s">
        <v>268</v>
      </c>
      <c r="D6" s="206" t="s">
        <v>269</v>
      </c>
      <c r="E6" s="210" t="s">
        <v>270</v>
      </c>
      <c r="F6" s="208"/>
      <c r="G6" s="208"/>
      <c r="H6" s="208"/>
      <c r="I6" s="208"/>
      <c r="J6" s="208"/>
      <c r="K6" s="208"/>
      <c r="L6" s="208"/>
      <c r="M6" s="208"/>
      <c r="N6" s="208"/>
      <c r="O6" s="208"/>
      <c r="P6" s="208"/>
      <c r="Q6" s="208"/>
      <c r="R6" s="208"/>
      <c r="S6" s="208"/>
      <c r="T6" s="208"/>
      <c r="U6" s="208"/>
      <c r="V6" s="208"/>
      <c r="W6" s="208"/>
      <c r="X6" s="208"/>
      <c r="Y6" s="208"/>
      <c r="Z6" s="209"/>
    </row>
    <row r="7" ht="15.75" customHeight="1">
      <c r="A7" s="44"/>
      <c r="B7" s="44"/>
      <c r="C7" s="206" t="s">
        <v>271</v>
      </c>
      <c r="D7" s="206" t="s">
        <v>272</v>
      </c>
      <c r="E7" s="207" t="s">
        <v>273</v>
      </c>
      <c r="F7" s="208"/>
      <c r="G7" s="208"/>
      <c r="H7" s="208"/>
      <c r="I7" s="208"/>
      <c r="J7" s="208"/>
      <c r="K7" s="208"/>
      <c r="L7" s="208"/>
      <c r="M7" s="208"/>
      <c r="N7" s="208"/>
      <c r="O7" s="208"/>
      <c r="P7" s="208"/>
      <c r="Q7" s="208"/>
      <c r="R7" s="208"/>
      <c r="S7" s="208"/>
      <c r="T7" s="208"/>
      <c r="U7" s="208"/>
      <c r="V7" s="208"/>
      <c r="W7" s="208"/>
      <c r="X7" s="208"/>
      <c r="Y7" s="208"/>
      <c r="Z7" s="209"/>
    </row>
    <row r="8" ht="15.75" customHeight="1">
      <c r="A8" s="44"/>
      <c r="B8" s="44"/>
      <c r="C8" s="206" t="s">
        <v>274</v>
      </c>
      <c r="D8" s="206" t="s">
        <v>275</v>
      </c>
      <c r="E8" s="207" t="s">
        <v>276</v>
      </c>
      <c r="F8" s="208"/>
      <c r="G8" s="208"/>
      <c r="H8" s="208"/>
      <c r="I8" s="208"/>
      <c r="J8" s="208"/>
      <c r="K8" s="208"/>
      <c r="L8" s="208"/>
      <c r="M8" s="208"/>
      <c r="N8" s="208"/>
      <c r="O8" s="208"/>
      <c r="P8" s="208"/>
      <c r="Q8" s="208"/>
      <c r="R8" s="208"/>
      <c r="S8" s="208"/>
      <c r="T8" s="208"/>
      <c r="U8" s="208"/>
      <c r="V8" s="208"/>
      <c r="W8" s="208"/>
      <c r="X8" s="208"/>
      <c r="Y8" s="208"/>
      <c r="Z8" s="209"/>
    </row>
    <row r="9" ht="15.75" customHeight="1">
      <c r="A9" s="44"/>
      <c r="B9" s="44"/>
      <c r="C9" s="206" t="s">
        <v>277</v>
      </c>
      <c r="D9" s="206" t="s">
        <v>278</v>
      </c>
      <c r="E9" s="207" t="s">
        <v>279</v>
      </c>
      <c r="F9" s="208"/>
      <c r="G9" s="208"/>
      <c r="H9" s="208"/>
      <c r="I9" s="208"/>
      <c r="J9" s="208"/>
      <c r="K9" s="208"/>
      <c r="L9" s="208"/>
      <c r="M9" s="208"/>
      <c r="N9" s="208"/>
      <c r="O9" s="208"/>
      <c r="P9" s="208"/>
      <c r="Q9" s="208"/>
      <c r="R9" s="208"/>
      <c r="S9" s="208"/>
      <c r="T9" s="208"/>
      <c r="U9" s="208"/>
      <c r="V9" s="208"/>
      <c r="W9" s="208"/>
      <c r="X9" s="208"/>
      <c r="Y9" s="208"/>
      <c r="Z9" s="209"/>
    </row>
    <row r="10" ht="15.75" customHeight="1">
      <c r="A10" s="44"/>
      <c r="B10" s="44"/>
      <c r="C10" s="206" t="s">
        <v>280</v>
      </c>
      <c r="D10" s="206" t="s">
        <v>281</v>
      </c>
      <c r="E10" s="207" t="s">
        <v>282</v>
      </c>
      <c r="F10" s="208"/>
      <c r="G10" s="208"/>
      <c r="H10" s="208"/>
      <c r="I10" s="208"/>
      <c r="J10" s="208"/>
      <c r="K10" s="208"/>
      <c r="L10" s="208"/>
      <c r="M10" s="208"/>
      <c r="N10" s="208"/>
      <c r="O10" s="208"/>
      <c r="P10" s="208"/>
      <c r="Q10" s="208"/>
      <c r="R10" s="208"/>
      <c r="S10" s="208"/>
      <c r="T10" s="208"/>
      <c r="U10" s="208"/>
      <c r="V10" s="208"/>
      <c r="W10" s="208"/>
      <c r="X10" s="208"/>
      <c r="Y10" s="208"/>
      <c r="Z10" s="209"/>
    </row>
    <row r="11" ht="15.75" customHeight="1">
      <c r="A11" s="44"/>
      <c r="B11" s="44"/>
      <c r="C11" s="206" t="s">
        <v>283</v>
      </c>
      <c r="D11" s="206" t="s">
        <v>284</v>
      </c>
      <c r="E11" s="207" t="s">
        <v>285</v>
      </c>
      <c r="F11" s="208"/>
      <c r="G11" s="208"/>
      <c r="H11" s="208"/>
      <c r="I11" s="208"/>
      <c r="J11" s="208"/>
      <c r="K11" s="208"/>
      <c r="L11" s="208"/>
      <c r="M11" s="208"/>
      <c r="N11" s="208"/>
      <c r="O11" s="208"/>
      <c r="P11" s="208"/>
      <c r="Q11" s="208"/>
      <c r="R11" s="208"/>
      <c r="S11" s="208"/>
      <c r="T11" s="208"/>
      <c r="U11" s="208"/>
      <c r="V11" s="208"/>
      <c r="W11" s="208"/>
      <c r="X11" s="208"/>
      <c r="Y11" s="208"/>
      <c r="Z11" s="209"/>
    </row>
    <row r="12" ht="15.75" customHeight="1">
      <c r="A12" s="44"/>
      <c r="B12" s="44"/>
      <c r="C12" s="206" t="s">
        <v>286</v>
      </c>
      <c r="D12" s="206" t="s">
        <v>287</v>
      </c>
      <c r="E12" s="207" t="s">
        <v>288</v>
      </c>
      <c r="F12" s="208"/>
      <c r="G12" s="208"/>
      <c r="H12" s="208"/>
      <c r="I12" s="208"/>
      <c r="J12" s="208"/>
      <c r="K12" s="208"/>
      <c r="L12" s="208"/>
      <c r="M12" s="208"/>
      <c r="N12" s="208"/>
      <c r="O12" s="208"/>
      <c r="P12" s="208"/>
      <c r="Q12" s="208"/>
      <c r="R12" s="208"/>
      <c r="S12" s="208"/>
      <c r="T12" s="208"/>
      <c r="U12" s="208"/>
      <c r="V12" s="208"/>
      <c r="W12" s="208"/>
      <c r="X12" s="208"/>
      <c r="Y12" s="208"/>
      <c r="Z12" s="209"/>
    </row>
    <row r="13" ht="15.75" customHeight="1">
      <c r="A13" s="44"/>
      <c r="B13" s="44"/>
      <c r="C13" s="206" t="s">
        <v>289</v>
      </c>
      <c r="D13" s="206" t="s">
        <v>290</v>
      </c>
      <c r="E13" s="207" t="s">
        <v>291</v>
      </c>
      <c r="F13" s="208"/>
      <c r="G13" s="208"/>
      <c r="H13" s="208"/>
      <c r="I13" s="208"/>
      <c r="J13" s="208"/>
      <c r="K13" s="208"/>
      <c r="L13" s="208"/>
      <c r="M13" s="208"/>
      <c r="N13" s="208"/>
      <c r="O13" s="208"/>
      <c r="P13" s="208"/>
      <c r="Q13" s="208"/>
      <c r="R13" s="208"/>
      <c r="S13" s="208"/>
      <c r="T13" s="208"/>
      <c r="U13" s="208"/>
      <c r="V13" s="208"/>
      <c r="W13" s="208"/>
      <c r="X13" s="208"/>
      <c r="Y13" s="208"/>
      <c r="Z13" s="209"/>
    </row>
    <row r="14" ht="15.75" customHeight="1">
      <c r="A14" s="68"/>
      <c r="B14" s="68"/>
      <c r="C14" s="206" t="s">
        <v>292</v>
      </c>
      <c r="D14" s="206" t="s">
        <v>293</v>
      </c>
      <c r="E14" s="207" t="s">
        <v>294</v>
      </c>
      <c r="F14" s="208"/>
      <c r="G14" s="208"/>
      <c r="H14" s="208"/>
      <c r="I14" s="208"/>
      <c r="J14" s="208"/>
      <c r="K14" s="208"/>
      <c r="L14" s="208"/>
      <c r="M14" s="208"/>
      <c r="N14" s="208"/>
      <c r="O14" s="208"/>
      <c r="P14" s="208"/>
      <c r="Q14" s="208"/>
      <c r="R14" s="208"/>
      <c r="S14" s="208"/>
      <c r="T14" s="208"/>
      <c r="U14" s="208"/>
      <c r="V14" s="208"/>
      <c r="W14" s="208"/>
      <c r="X14" s="208"/>
      <c r="Y14" s="208"/>
      <c r="Z14" s="209"/>
    </row>
    <row r="15" ht="15.75" customHeight="1">
      <c r="A15" s="211">
        <v>45146.0</v>
      </c>
      <c r="B15" s="212" t="s">
        <v>77</v>
      </c>
      <c r="C15" s="213" t="s">
        <v>295</v>
      </c>
      <c r="D15" s="213" t="s">
        <v>296</v>
      </c>
      <c r="E15" s="168" t="s">
        <v>297</v>
      </c>
      <c r="F15" s="214"/>
      <c r="G15" s="214"/>
      <c r="H15" s="214"/>
      <c r="I15" s="214"/>
      <c r="J15" s="214"/>
      <c r="K15" s="214"/>
      <c r="L15" s="214"/>
      <c r="M15" s="214"/>
      <c r="N15" s="214"/>
      <c r="O15" s="214"/>
      <c r="P15" s="214"/>
      <c r="Q15" s="214"/>
      <c r="R15" s="214"/>
      <c r="S15" s="214"/>
      <c r="T15" s="214"/>
      <c r="U15" s="214"/>
      <c r="V15" s="214"/>
      <c r="W15" s="214"/>
      <c r="X15" s="214"/>
      <c r="Y15" s="214"/>
      <c r="Z15" s="201"/>
    </row>
    <row r="16" ht="15.75" customHeight="1">
      <c r="A16" s="44"/>
      <c r="B16" s="44"/>
      <c r="C16" s="213" t="s">
        <v>298</v>
      </c>
      <c r="D16" s="213" t="s">
        <v>299</v>
      </c>
      <c r="E16" s="168" t="s">
        <v>300</v>
      </c>
      <c r="F16" s="214"/>
      <c r="G16" s="214"/>
      <c r="H16" s="214"/>
      <c r="I16" s="214"/>
      <c r="J16" s="214"/>
      <c r="K16" s="214"/>
      <c r="L16" s="214"/>
      <c r="M16" s="214"/>
      <c r="N16" s="214"/>
      <c r="O16" s="214"/>
      <c r="P16" s="214"/>
      <c r="Q16" s="214"/>
      <c r="R16" s="214"/>
      <c r="S16" s="214"/>
      <c r="T16" s="214"/>
      <c r="U16" s="214"/>
      <c r="V16" s="214"/>
      <c r="W16" s="214"/>
      <c r="X16" s="214"/>
      <c r="Y16" s="214"/>
      <c r="Z16" s="201"/>
    </row>
    <row r="17" ht="15.75" customHeight="1">
      <c r="A17" s="44"/>
      <c r="B17" s="44"/>
      <c r="C17" s="213" t="s">
        <v>301</v>
      </c>
      <c r="D17" s="213" t="s">
        <v>302</v>
      </c>
      <c r="E17" s="168" t="s">
        <v>303</v>
      </c>
      <c r="F17" s="214"/>
      <c r="G17" s="214"/>
      <c r="H17" s="214"/>
      <c r="I17" s="214"/>
      <c r="J17" s="214"/>
      <c r="K17" s="214"/>
      <c r="L17" s="214"/>
      <c r="M17" s="214"/>
      <c r="N17" s="214"/>
      <c r="O17" s="214"/>
      <c r="P17" s="214"/>
      <c r="Q17" s="214"/>
      <c r="R17" s="214"/>
      <c r="S17" s="214"/>
      <c r="T17" s="214"/>
      <c r="U17" s="214"/>
      <c r="V17" s="214"/>
      <c r="W17" s="214"/>
      <c r="X17" s="214"/>
      <c r="Y17" s="214"/>
      <c r="Z17" s="201"/>
    </row>
    <row r="18" ht="15.75" customHeight="1">
      <c r="A18" s="44"/>
      <c r="B18" s="44"/>
      <c r="C18" s="213" t="s">
        <v>164</v>
      </c>
      <c r="D18" s="213" t="s">
        <v>253</v>
      </c>
      <c r="E18" s="168" t="s">
        <v>304</v>
      </c>
      <c r="F18" s="214"/>
      <c r="G18" s="214"/>
      <c r="H18" s="214"/>
      <c r="I18" s="214"/>
      <c r="J18" s="214"/>
      <c r="K18" s="214"/>
      <c r="L18" s="214"/>
      <c r="M18" s="214"/>
      <c r="N18" s="214"/>
      <c r="O18" s="214"/>
      <c r="P18" s="214"/>
      <c r="Q18" s="214"/>
      <c r="R18" s="214"/>
      <c r="S18" s="214"/>
      <c r="T18" s="214"/>
      <c r="U18" s="214"/>
      <c r="V18" s="214"/>
      <c r="W18" s="214"/>
      <c r="X18" s="214"/>
      <c r="Y18" s="214"/>
      <c r="Z18" s="201"/>
    </row>
    <row r="19" ht="15.75" customHeight="1">
      <c r="A19" s="44"/>
      <c r="B19" s="44"/>
      <c r="C19" s="213" t="s">
        <v>87</v>
      </c>
      <c r="D19" s="213" t="s">
        <v>305</v>
      </c>
      <c r="E19" s="168" t="s">
        <v>306</v>
      </c>
      <c r="F19" s="214"/>
      <c r="G19" s="214"/>
      <c r="H19" s="214"/>
      <c r="I19" s="214"/>
      <c r="J19" s="214"/>
      <c r="K19" s="214"/>
      <c r="L19" s="214"/>
      <c r="M19" s="214"/>
      <c r="N19" s="214"/>
      <c r="O19" s="214"/>
      <c r="P19" s="214"/>
      <c r="Q19" s="214"/>
      <c r="R19" s="214"/>
      <c r="S19" s="214"/>
      <c r="T19" s="214"/>
      <c r="U19" s="214"/>
      <c r="V19" s="214"/>
      <c r="W19" s="214"/>
      <c r="X19" s="214"/>
      <c r="Y19" s="214"/>
      <c r="Z19" s="201"/>
    </row>
    <row r="20" ht="15.75" customHeight="1">
      <c r="A20" s="44"/>
      <c r="B20" s="44"/>
      <c r="C20" s="213" t="s">
        <v>307</v>
      </c>
      <c r="D20" s="213" t="s">
        <v>308</v>
      </c>
      <c r="E20" s="168" t="s">
        <v>309</v>
      </c>
      <c r="F20" s="214"/>
      <c r="G20" s="214"/>
      <c r="H20" s="214"/>
      <c r="I20" s="214"/>
      <c r="J20" s="214"/>
      <c r="K20" s="214"/>
      <c r="L20" s="214"/>
      <c r="M20" s="214"/>
      <c r="N20" s="214"/>
      <c r="O20" s="214"/>
      <c r="P20" s="214"/>
      <c r="Q20" s="214"/>
      <c r="R20" s="214"/>
      <c r="S20" s="214"/>
      <c r="T20" s="214"/>
      <c r="U20" s="214"/>
      <c r="V20" s="214"/>
      <c r="W20" s="214"/>
      <c r="X20" s="214"/>
      <c r="Y20" s="214"/>
      <c r="Z20" s="201"/>
    </row>
    <row r="21" ht="15.75" customHeight="1">
      <c r="A21" s="44"/>
      <c r="B21" s="44"/>
      <c r="C21" s="213" t="s">
        <v>310</v>
      </c>
      <c r="D21" s="213" t="s">
        <v>311</v>
      </c>
      <c r="E21" s="168" t="s">
        <v>312</v>
      </c>
      <c r="F21" s="214"/>
      <c r="G21" s="214"/>
      <c r="H21" s="214"/>
      <c r="I21" s="214"/>
      <c r="J21" s="214"/>
      <c r="K21" s="214"/>
      <c r="L21" s="214"/>
      <c r="M21" s="214"/>
      <c r="N21" s="214"/>
      <c r="O21" s="214"/>
      <c r="P21" s="214"/>
      <c r="Q21" s="214"/>
      <c r="R21" s="214"/>
      <c r="S21" s="214"/>
      <c r="T21" s="214"/>
      <c r="U21" s="214"/>
      <c r="V21" s="214"/>
      <c r="W21" s="214"/>
      <c r="X21" s="214"/>
      <c r="Y21" s="214"/>
      <c r="Z21" s="201"/>
    </row>
    <row r="22" ht="15.75" customHeight="1">
      <c r="A22" s="44"/>
      <c r="B22" s="44"/>
      <c r="C22" s="213" t="s">
        <v>313</v>
      </c>
      <c r="D22" s="213" t="s">
        <v>314</v>
      </c>
      <c r="E22" s="168" t="s">
        <v>315</v>
      </c>
      <c r="F22" s="214"/>
      <c r="G22" s="214"/>
      <c r="H22" s="214"/>
      <c r="I22" s="214"/>
      <c r="J22" s="214"/>
      <c r="K22" s="214"/>
      <c r="L22" s="214"/>
      <c r="M22" s="214"/>
      <c r="N22" s="214"/>
      <c r="O22" s="214"/>
      <c r="P22" s="214"/>
      <c r="Q22" s="214"/>
      <c r="R22" s="214"/>
      <c r="S22" s="214"/>
      <c r="T22" s="214"/>
      <c r="U22" s="214"/>
      <c r="V22" s="214"/>
      <c r="W22" s="214"/>
      <c r="X22" s="214"/>
      <c r="Y22" s="214"/>
      <c r="Z22" s="201"/>
    </row>
    <row r="23" ht="15.75" customHeight="1">
      <c r="A23" s="44"/>
      <c r="B23" s="44"/>
      <c r="C23" s="213" t="s">
        <v>316</v>
      </c>
      <c r="D23" s="213" t="s">
        <v>317</v>
      </c>
      <c r="E23" s="215" t="s">
        <v>318</v>
      </c>
      <c r="F23" s="214"/>
      <c r="G23" s="214"/>
      <c r="H23" s="214"/>
      <c r="I23" s="214"/>
      <c r="J23" s="214"/>
      <c r="K23" s="214"/>
      <c r="L23" s="214"/>
      <c r="M23" s="214"/>
      <c r="N23" s="214"/>
      <c r="O23" s="214"/>
      <c r="P23" s="214"/>
      <c r="Q23" s="214"/>
      <c r="R23" s="214"/>
      <c r="S23" s="214"/>
      <c r="T23" s="214"/>
      <c r="U23" s="214"/>
      <c r="V23" s="214"/>
      <c r="W23" s="214"/>
      <c r="X23" s="214"/>
      <c r="Y23" s="214"/>
      <c r="Z23" s="201"/>
    </row>
    <row r="24" ht="15.75" customHeight="1">
      <c r="A24" s="68"/>
      <c r="B24" s="68"/>
      <c r="C24" s="213" t="s">
        <v>319</v>
      </c>
      <c r="D24" s="213" t="s">
        <v>159</v>
      </c>
      <c r="E24" s="168" t="s">
        <v>320</v>
      </c>
      <c r="F24" s="214"/>
      <c r="G24" s="214"/>
      <c r="H24" s="214"/>
      <c r="I24" s="214"/>
      <c r="J24" s="214"/>
      <c r="K24" s="214"/>
      <c r="L24" s="214"/>
      <c r="M24" s="214"/>
      <c r="N24" s="214"/>
      <c r="O24" s="214"/>
      <c r="P24" s="214"/>
      <c r="Q24" s="214"/>
      <c r="R24" s="214"/>
      <c r="S24" s="214"/>
      <c r="T24" s="214"/>
      <c r="U24" s="214"/>
      <c r="V24" s="214"/>
      <c r="W24" s="214"/>
      <c r="X24" s="214"/>
      <c r="Y24" s="214"/>
      <c r="Z24" s="201"/>
    </row>
    <row r="25" ht="15.75" customHeight="1">
      <c r="A25" s="216">
        <v>45023.0</v>
      </c>
      <c r="B25" s="217" t="s">
        <v>77</v>
      </c>
      <c r="C25" s="218" t="s">
        <v>321</v>
      </c>
      <c r="D25" s="218" t="s">
        <v>322</v>
      </c>
      <c r="E25" s="219" t="s">
        <v>323</v>
      </c>
      <c r="F25" s="220"/>
      <c r="G25" s="220"/>
      <c r="H25" s="220"/>
      <c r="I25" s="220"/>
      <c r="J25" s="220"/>
      <c r="K25" s="220"/>
      <c r="L25" s="220"/>
      <c r="M25" s="220"/>
      <c r="N25" s="220"/>
      <c r="O25" s="220"/>
      <c r="P25" s="220"/>
      <c r="Q25" s="220"/>
      <c r="R25" s="220"/>
      <c r="S25" s="220"/>
      <c r="T25" s="220"/>
      <c r="U25" s="220"/>
      <c r="V25" s="220"/>
      <c r="W25" s="220"/>
      <c r="X25" s="220"/>
      <c r="Y25" s="220"/>
      <c r="Z25" s="221"/>
    </row>
    <row r="26" ht="15.75" customHeight="1">
      <c r="A26" s="44"/>
      <c r="B26" s="44"/>
      <c r="C26" s="218" t="s">
        <v>324</v>
      </c>
      <c r="D26" s="218" t="s">
        <v>325</v>
      </c>
      <c r="E26" s="219" t="s">
        <v>326</v>
      </c>
      <c r="F26" s="220"/>
      <c r="G26" s="220"/>
      <c r="H26" s="220"/>
      <c r="I26" s="220"/>
      <c r="J26" s="220"/>
      <c r="K26" s="220"/>
      <c r="L26" s="220"/>
      <c r="M26" s="220"/>
      <c r="N26" s="220"/>
      <c r="O26" s="220"/>
      <c r="P26" s="220"/>
      <c r="Q26" s="220"/>
      <c r="R26" s="220"/>
      <c r="S26" s="220"/>
      <c r="T26" s="220"/>
      <c r="U26" s="220"/>
      <c r="V26" s="220"/>
      <c r="W26" s="220"/>
      <c r="X26" s="220"/>
      <c r="Y26" s="220"/>
      <c r="Z26" s="221"/>
    </row>
    <row r="27" ht="15.75" customHeight="1">
      <c r="A27" s="44"/>
      <c r="B27" s="44"/>
      <c r="C27" s="218" t="s">
        <v>327</v>
      </c>
      <c r="D27" s="218" t="s">
        <v>328</v>
      </c>
      <c r="E27" s="219" t="s">
        <v>329</v>
      </c>
      <c r="F27" s="220"/>
      <c r="G27" s="220"/>
      <c r="H27" s="220"/>
      <c r="I27" s="220"/>
      <c r="J27" s="220"/>
      <c r="K27" s="220"/>
      <c r="L27" s="220"/>
      <c r="M27" s="220"/>
      <c r="N27" s="220"/>
      <c r="O27" s="220"/>
      <c r="P27" s="220"/>
      <c r="Q27" s="220"/>
      <c r="R27" s="220"/>
      <c r="S27" s="220"/>
      <c r="T27" s="220"/>
      <c r="U27" s="220"/>
      <c r="V27" s="220"/>
      <c r="W27" s="220"/>
      <c r="X27" s="220"/>
      <c r="Y27" s="220"/>
      <c r="Z27" s="221"/>
    </row>
    <row r="28" ht="15.75" customHeight="1">
      <c r="A28" s="44"/>
      <c r="B28" s="44"/>
      <c r="C28" s="218" t="s">
        <v>330</v>
      </c>
      <c r="D28" s="218" t="s">
        <v>331</v>
      </c>
      <c r="E28" s="219" t="s">
        <v>332</v>
      </c>
      <c r="F28" s="220"/>
      <c r="G28" s="220"/>
      <c r="H28" s="220"/>
      <c r="I28" s="220"/>
      <c r="J28" s="220"/>
      <c r="K28" s="220"/>
      <c r="L28" s="220"/>
      <c r="M28" s="220"/>
      <c r="N28" s="220"/>
      <c r="O28" s="220"/>
      <c r="P28" s="220"/>
      <c r="Q28" s="220"/>
      <c r="R28" s="220"/>
      <c r="S28" s="220"/>
      <c r="T28" s="220"/>
      <c r="U28" s="220"/>
      <c r="V28" s="220"/>
      <c r="W28" s="220"/>
      <c r="X28" s="220"/>
      <c r="Y28" s="220"/>
      <c r="Z28" s="221"/>
    </row>
    <row r="29" ht="15.75" customHeight="1">
      <c r="A29" s="68"/>
      <c r="B29" s="68"/>
      <c r="C29" s="222" t="s">
        <v>333</v>
      </c>
      <c r="D29" s="222" t="s">
        <v>334</v>
      </c>
      <c r="E29" s="164" t="s">
        <v>335</v>
      </c>
      <c r="F29" s="220"/>
      <c r="G29" s="220"/>
      <c r="H29" s="220"/>
      <c r="I29" s="220"/>
      <c r="J29" s="220"/>
      <c r="K29" s="220"/>
      <c r="L29" s="220"/>
      <c r="M29" s="220"/>
      <c r="N29" s="220"/>
      <c r="O29" s="220"/>
      <c r="P29" s="220"/>
      <c r="Q29" s="220"/>
      <c r="R29" s="220"/>
      <c r="S29" s="220"/>
      <c r="T29" s="220"/>
      <c r="U29" s="220"/>
      <c r="V29" s="220"/>
      <c r="W29" s="220"/>
      <c r="X29" s="220"/>
      <c r="Y29" s="220"/>
      <c r="Z29" s="221"/>
    </row>
    <row r="30" ht="15.75" customHeight="1">
      <c r="A30" s="223">
        <v>44916.0</v>
      </c>
      <c r="B30" s="224" t="s">
        <v>77</v>
      </c>
      <c r="C30" s="225" t="s">
        <v>121</v>
      </c>
      <c r="D30" s="225" t="s">
        <v>336</v>
      </c>
      <c r="E30" s="225" t="s">
        <v>337</v>
      </c>
      <c r="F30" s="214"/>
      <c r="G30" s="214"/>
      <c r="H30" s="214"/>
      <c r="I30" s="214"/>
      <c r="J30" s="214"/>
      <c r="K30" s="214"/>
      <c r="L30" s="214"/>
      <c r="M30" s="214"/>
      <c r="N30" s="214"/>
      <c r="O30" s="214"/>
      <c r="P30" s="214"/>
      <c r="Q30" s="214"/>
      <c r="R30" s="214"/>
      <c r="S30" s="214"/>
      <c r="T30" s="214"/>
      <c r="U30" s="214"/>
      <c r="V30" s="214"/>
      <c r="W30" s="214"/>
      <c r="X30" s="214"/>
      <c r="Y30" s="214"/>
      <c r="Z30" s="201"/>
    </row>
    <row r="31" ht="15.75" customHeight="1">
      <c r="A31" s="44"/>
      <c r="B31" s="44"/>
      <c r="C31" s="225" t="s">
        <v>338</v>
      </c>
      <c r="D31" s="225" t="s">
        <v>339</v>
      </c>
      <c r="E31" s="180" t="s">
        <v>340</v>
      </c>
      <c r="F31" s="214"/>
      <c r="G31" s="214"/>
      <c r="H31" s="214"/>
      <c r="I31" s="214"/>
      <c r="J31" s="214"/>
      <c r="K31" s="214"/>
      <c r="L31" s="214"/>
      <c r="M31" s="214"/>
      <c r="N31" s="214"/>
      <c r="O31" s="214"/>
      <c r="P31" s="214"/>
      <c r="Q31" s="214"/>
      <c r="R31" s="214"/>
      <c r="S31" s="214"/>
      <c r="T31" s="214"/>
      <c r="U31" s="214"/>
      <c r="V31" s="214"/>
      <c r="W31" s="214"/>
      <c r="X31" s="214"/>
      <c r="Y31" s="214"/>
      <c r="Z31" s="201"/>
    </row>
    <row r="32" ht="15.75" customHeight="1">
      <c r="A32" s="44"/>
      <c r="B32" s="44"/>
      <c r="C32" s="225" t="s">
        <v>341</v>
      </c>
      <c r="D32" s="225" t="s">
        <v>342</v>
      </c>
      <c r="E32" s="180" t="s">
        <v>343</v>
      </c>
      <c r="F32" s="214"/>
      <c r="G32" s="214"/>
      <c r="H32" s="214"/>
      <c r="I32" s="214"/>
      <c r="J32" s="214"/>
      <c r="K32" s="214"/>
      <c r="L32" s="214"/>
      <c r="M32" s="214"/>
      <c r="N32" s="214"/>
      <c r="O32" s="214"/>
      <c r="P32" s="214"/>
      <c r="Q32" s="214"/>
      <c r="R32" s="214"/>
      <c r="S32" s="214"/>
      <c r="T32" s="214"/>
      <c r="U32" s="214"/>
      <c r="V32" s="214"/>
      <c r="W32" s="214"/>
      <c r="X32" s="214"/>
      <c r="Y32" s="214"/>
      <c r="Z32" s="201"/>
    </row>
    <row r="33" ht="15.75" customHeight="1">
      <c r="A33" s="44"/>
      <c r="B33" s="44"/>
      <c r="C33" s="225" t="s">
        <v>344</v>
      </c>
      <c r="D33" s="225" t="s">
        <v>345</v>
      </c>
      <c r="E33" s="180" t="s">
        <v>346</v>
      </c>
      <c r="F33" s="214"/>
      <c r="G33" s="214"/>
      <c r="H33" s="214"/>
      <c r="I33" s="214"/>
      <c r="J33" s="214"/>
      <c r="K33" s="214"/>
      <c r="L33" s="214"/>
      <c r="M33" s="214"/>
      <c r="N33" s="214"/>
      <c r="O33" s="214"/>
      <c r="P33" s="214"/>
      <c r="Q33" s="214"/>
      <c r="R33" s="214"/>
      <c r="S33" s="214"/>
      <c r="T33" s="214"/>
      <c r="U33" s="214"/>
      <c r="V33" s="214"/>
      <c r="W33" s="214"/>
      <c r="X33" s="214"/>
      <c r="Y33" s="214"/>
      <c r="Z33" s="201"/>
    </row>
    <row r="34" ht="15.75" customHeight="1">
      <c r="A34" s="44"/>
      <c r="B34" s="44"/>
      <c r="C34" s="226" t="s">
        <v>347</v>
      </c>
      <c r="D34" s="226" t="s">
        <v>348</v>
      </c>
      <c r="E34" s="227" t="s">
        <v>349</v>
      </c>
      <c r="F34" s="214"/>
      <c r="G34" s="214"/>
      <c r="H34" s="214"/>
      <c r="I34" s="214"/>
      <c r="J34" s="214"/>
      <c r="K34" s="214"/>
      <c r="L34" s="214"/>
      <c r="M34" s="214"/>
      <c r="N34" s="214"/>
      <c r="O34" s="214"/>
      <c r="P34" s="214"/>
      <c r="Q34" s="214"/>
      <c r="R34" s="214"/>
      <c r="S34" s="214"/>
      <c r="T34" s="214"/>
      <c r="U34" s="214"/>
      <c r="V34" s="214"/>
      <c r="W34" s="214"/>
      <c r="X34" s="214"/>
      <c r="Y34" s="214"/>
      <c r="Z34" s="201"/>
    </row>
    <row r="35" ht="15.75" customHeight="1">
      <c r="A35" s="44"/>
      <c r="B35" s="44"/>
      <c r="C35" s="226" t="s">
        <v>350</v>
      </c>
      <c r="D35" s="226" t="s">
        <v>351</v>
      </c>
      <c r="E35" s="227" t="s">
        <v>352</v>
      </c>
      <c r="F35" s="214"/>
      <c r="G35" s="214"/>
      <c r="H35" s="214"/>
      <c r="I35" s="214"/>
      <c r="J35" s="214"/>
      <c r="K35" s="214"/>
      <c r="L35" s="214"/>
      <c r="M35" s="214"/>
      <c r="N35" s="214"/>
      <c r="O35" s="214"/>
      <c r="P35" s="214"/>
      <c r="Q35" s="214"/>
      <c r="R35" s="214"/>
      <c r="S35" s="214"/>
      <c r="T35" s="214"/>
      <c r="U35" s="214"/>
      <c r="V35" s="214"/>
      <c r="W35" s="214"/>
      <c r="X35" s="214"/>
      <c r="Y35" s="214"/>
      <c r="Z35" s="201"/>
    </row>
    <row r="36" ht="15.75" customHeight="1">
      <c r="A36" s="44"/>
      <c r="B36" s="44"/>
      <c r="C36" s="225" t="s">
        <v>353</v>
      </c>
      <c r="D36" s="225" t="s">
        <v>354</v>
      </c>
      <c r="E36" s="170" t="s">
        <v>355</v>
      </c>
      <c r="F36" s="214"/>
      <c r="G36" s="214"/>
      <c r="H36" s="214"/>
      <c r="I36" s="214"/>
      <c r="J36" s="214"/>
      <c r="K36" s="214"/>
      <c r="L36" s="214"/>
      <c r="M36" s="214"/>
      <c r="N36" s="214"/>
      <c r="O36" s="214"/>
      <c r="P36" s="214"/>
      <c r="Q36" s="214"/>
      <c r="R36" s="214"/>
      <c r="S36" s="214"/>
      <c r="T36" s="214"/>
      <c r="U36" s="214"/>
      <c r="V36" s="214"/>
      <c r="W36" s="214"/>
      <c r="X36" s="214"/>
      <c r="Y36" s="214"/>
      <c r="Z36" s="201"/>
    </row>
    <row r="37" ht="15.75" customHeight="1">
      <c r="A37" s="44"/>
      <c r="B37" s="44"/>
      <c r="C37" s="225" t="s">
        <v>356</v>
      </c>
      <c r="D37" s="225" t="s">
        <v>357</v>
      </c>
      <c r="E37" s="170" t="s">
        <v>358</v>
      </c>
      <c r="F37" s="214"/>
      <c r="G37" s="214"/>
      <c r="H37" s="214"/>
      <c r="I37" s="214"/>
      <c r="J37" s="214"/>
      <c r="K37" s="214"/>
      <c r="L37" s="214"/>
      <c r="M37" s="214"/>
      <c r="N37" s="214"/>
      <c r="O37" s="214"/>
      <c r="P37" s="214"/>
      <c r="Q37" s="214"/>
      <c r="R37" s="214"/>
      <c r="S37" s="214"/>
      <c r="T37" s="214"/>
      <c r="U37" s="214"/>
      <c r="V37" s="214"/>
      <c r="W37" s="214"/>
      <c r="X37" s="214"/>
      <c r="Y37" s="214"/>
      <c r="Z37" s="201"/>
    </row>
    <row r="38" ht="15.75" customHeight="1">
      <c r="A38" s="68"/>
      <c r="B38" s="68"/>
      <c r="C38" s="225" t="s">
        <v>359</v>
      </c>
      <c r="D38" s="225" t="s">
        <v>360</v>
      </c>
      <c r="E38" s="180" t="s">
        <v>361</v>
      </c>
      <c r="F38" s="214"/>
      <c r="G38" s="214"/>
      <c r="H38" s="214"/>
      <c r="I38" s="214"/>
      <c r="J38" s="214"/>
      <c r="K38" s="214"/>
      <c r="L38" s="214"/>
      <c r="M38" s="214"/>
      <c r="N38" s="214"/>
      <c r="O38" s="214"/>
      <c r="P38" s="214"/>
      <c r="Q38" s="214"/>
      <c r="R38" s="214"/>
      <c r="S38" s="214"/>
      <c r="T38" s="214"/>
      <c r="U38" s="214"/>
      <c r="V38" s="214"/>
      <c r="W38" s="214"/>
      <c r="X38" s="214"/>
      <c r="Y38" s="214"/>
      <c r="Z38" s="201"/>
    </row>
    <row r="39" ht="15.75" customHeight="1">
      <c r="A39" s="216">
        <v>44554.0</v>
      </c>
      <c r="B39" s="217" t="s">
        <v>77</v>
      </c>
      <c r="C39" s="220" t="s">
        <v>362</v>
      </c>
      <c r="D39" s="220" t="s">
        <v>363</v>
      </c>
      <c r="E39" s="228" t="s">
        <v>364</v>
      </c>
      <c r="F39" s="220"/>
      <c r="G39" s="220"/>
      <c r="H39" s="220"/>
      <c r="I39" s="220"/>
      <c r="J39" s="220"/>
      <c r="K39" s="220"/>
      <c r="L39" s="220"/>
      <c r="M39" s="220"/>
      <c r="N39" s="220"/>
      <c r="O39" s="220"/>
      <c r="P39" s="220"/>
      <c r="Q39" s="220"/>
      <c r="R39" s="220"/>
      <c r="S39" s="220"/>
      <c r="T39" s="220"/>
      <c r="U39" s="220"/>
      <c r="V39" s="220"/>
      <c r="W39" s="220"/>
      <c r="X39" s="220"/>
      <c r="Y39" s="220"/>
      <c r="Z39" s="221"/>
    </row>
    <row r="40" ht="15.75" customHeight="1">
      <c r="A40" s="44"/>
      <c r="B40" s="44"/>
      <c r="C40" s="220" t="s">
        <v>365</v>
      </c>
      <c r="D40" s="220" t="s">
        <v>366</v>
      </c>
      <c r="E40" s="228" t="s">
        <v>367</v>
      </c>
      <c r="F40" s="220"/>
      <c r="G40" s="220"/>
      <c r="H40" s="220"/>
      <c r="I40" s="220"/>
      <c r="J40" s="220"/>
      <c r="K40" s="220"/>
      <c r="L40" s="220"/>
      <c r="M40" s="220"/>
      <c r="N40" s="220"/>
      <c r="O40" s="220"/>
      <c r="P40" s="220"/>
      <c r="Q40" s="220"/>
      <c r="R40" s="220"/>
      <c r="S40" s="220"/>
      <c r="T40" s="220"/>
      <c r="U40" s="220"/>
      <c r="V40" s="220"/>
      <c r="W40" s="220"/>
      <c r="X40" s="220"/>
      <c r="Y40" s="220"/>
      <c r="Z40" s="221"/>
    </row>
    <row r="41" ht="15.75" customHeight="1">
      <c r="A41" s="44"/>
      <c r="B41" s="44"/>
      <c r="C41" s="222" t="s">
        <v>368</v>
      </c>
      <c r="D41" s="222" t="s">
        <v>284</v>
      </c>
      <c r="E41" s="228" t="s">
        <v>369</v>
      </c>
      <c r="F41" s="220"/>
      <c r="G41" s="220"/>
      <c r="H41" s="220"/>
      <c r="I41" s="220"/>
      <c r="J41" s="220"/>
      <c r="K41" s="220"/>
      <c r="L41" s="220"/>
      <c r="M41" s="220"/>
      <c r="N41" s="220"/>
      <c r="O41" s="220"/>
      <c r="P41" s="220"/>
      <c r="Q41" s="220"/>
      <c r="R41" s="220"/>
      <c r="S41" s="220"/>
      <c r="T41" s="220"/>
      <c r="U41" s="220"/>
      <c r="V41" s="220"/>
      <c r="W41" s="220"/>
      <c r="X41" s="220"/>
      <c r="Y41" s="220"/>
      <c r="Z41" s="221"/>
    </row>
    <row r="42" ht="15.75" customHeight="1">
      <c r="A42" s="44"/>
      <c r="B42" s="44"/>
      <c r="C42" s="220" t="s">
        <v>370</v>
      </c>
      <c r="D42" s="220" t="s">
        <v>371</v>
      </c>
      <c r="E42" s="228" t="s">
        <v>372</v>
      </c>
      <c r="F42" s="220"/>
      <c r="G42" s="220"/>
      <c r="H42" s="220"/>
      <c r="I42" s="220"/>
      <c r="J42" s="220"/>
      <c r="K42" s="220"/>
      <c r="L42" s="220"/>
      <c r="M42" s="220"/>
      <c r="N42" s="220"/>
      <c r="O42" s="220"/>
      <c r="P42" s="220"/>
      <c r="Q42" s="220"/>
      <c r="R42" s="220"/>
      <c r="S42" s="220"/>
      <c r="T42" s="220"/>
      <c r="U42" s="220"/>
      <c r="V42" s="220"/>
      <c r="W42" s="220"/>
      <c r="X42" s="220"/>
      <c r="Y42" s="220"/>
      <c r="Z42" s="221"/>
    </row>
    <row r="43" ht="15.75" customHeight="1">
      <c r="A43" s="44"/>
      <c r="B43" s="44"/>
      <c r="C43" s="220" t="s">
        <v>373</v>
      </c>
      <c r="D43" s="220" t="s">
        <v>374</v>
      </c>
      <c r="E43" s="228" t="s">
        <v>375</v>
      </c>
      <c r="F43" s="220"/>
      <c r="G43" s="220"/>
      <c r="H43" s="220"/>
      <c r="I43" s="220"/>
      <c r="J43" s="220"/>
      <c r="K43" s="220"/>
      <c r="L43" s="220"/>
      <c r="M43" s="220"/>
      <c r="N43" s="220"/>
      <c r="O43" s="220"/>
      <c r="P43" s="220"/>
      <c r="Q43" s="220"/>
      <c r="R43" s="220"/>
      <c r="S43" s="220"/>
      <c r="T43" s="220"/>
      <c r="U43" s="220"/>
      <c r="V43" s="220"/>
      <c r="W43" s="220"/>
      <c r="X43" s="220"/>
      <c r="Y43" s="220"/>
      <c r="Z43" s="221"/>
    </row>
    <row r="44" ht="15.75" customHeight="1">
      <c r="A44" s="44"/>
      <c r="B44" s="44"/>
      <c r="C44" s="220" t="s">
        <v>376</v>
      </c>
      <c r="D44" s="220" t="s">
        <v>377</v>
      </c>
      <c r="E44" s="228" t="s">
        <v>378</v>
      </c>
      <c r="F44" s="220"/>
      <c r="G44" s="220"/>
      <c r="H44" s="220"/>
      <c r="I44" s="220"/>
      <c r="J44" s="220"/>
      <c r="K44" s="220"/>
      <c r="L44" s="220"/>
      <c r="M44" s="220"/>
      <c r="N44" s="220"/>
      <c r="O44" s="220"/>
      <c r="P44" s="220"/>
      <c r="Q44" s="220"/>
      <c r="R44" s="220"/>
      <c r="S44" s="220"/>
      <c r="T44" s="220"/>
      <c r="U44" s="220"/>
      <c r="V44" s="220"/>
      <c r="W44" s="220"/>
      <c r="X44" s="220"/>
      <c r="Y44" s="220"/>
      <c r="Z44" s="221"/>
    </row>
    <row r="45" ht="15.75" customHeight="1">
      <c r="A45" s="44"/>
      <c r="B45" s="44"/>
      <c r="C45" s="222" t="s">
        <v>379</v>
      </c>
      <c r="D45" s="222" t="s">
        <v>380</v>
      </c>
      <c r="E45" s="228" t="s">
        <v>381</v>
      </c>
      <c r="F45" s="220"/>
      <c r="G45" s="220"/>
      <c r="H45" s="220"/>
      <c r="I45" s="220"/>
      <c r="J45" s="220"/>
      <c r="K45" s="220"/>
      <c r="L45" s="220"/>
      <c r="M45" s="220"/>
      <c r="N45" s="220"/>
      <c r="O45" s="220"/>
      <c r="P45" s="220"/>
      <c r="Q45" s="220"/>
      <c r="R45" s="220"/>
      <c r="S45" s="220"/>
      <c r="T45" s="220"/>
      <c r="U45" s="220"/>
      <c r="V45" s="220"/>
      <c r="W45" s="220"/>
      <c r="X45" s="220"/>
      <c r="Y45" s="220"/>
      <c r="Z45" s="221"/>
    </row>
    <row r="46" ht="15.75" customHeight="1">
      <c r="A46" s="44"/>
      <c r="B46" s="44"/>
      <c r="C46" s="222" t="s">
        <v>370</v>
      </c>
      <c r="D46" s="222" t="s">
        <v>382</v>
      </c>
      <c r="E46" s="228" t="s">
        <v>383</v>
      </c>
      <c r="F46" s="220"/>
      <c r="G46" s="220"/>
      <c r="H46" s="220"/>
      <c r="I46" s="220"/>
      <c r="J46" s="220"/>
      <c r="K46" s="220"/>
      <c r="L46" s="220"/>
      <c r="M46" s="220"/>
      <c r="N46" s="220"/>
      <c r="O46" s="220"/>
      <c r="P46" s="220"/>
      <c r="Q46" s="220"/>
      <c r="R46" s="220"/>
      <c r="S46" s="220"/>
      <c r="T46" s="220"/>
      <c r="U46" s="220"/>
      <c r="V46" s="220"/>
      <c r="W46" s="220"/>
      <c r="X46" s="220"/>
      <c r="Y46" s="220"/>
      <c r="Z46" s="221"/>
    </row>
    <row r="47" ht="15.75" customHeight="1">
      <c r="A47" s="68"/>
      <c r="B47" s="68"/>
      <c r="C47" s="220" t="s">
        <v>384</v>
      </c>
      <c r="D47" s="220" t="s">
        <v>159</v>
      </c>
      <c r="E47" s="228" t="s">
        <v>385</v>
      </c>
      <c r="F47" s="220"/>
      <c r="G47" s="220"/>
      <c r="H47" s="220"/>
      <c r="I47" s="220"/>
      <c r="J47" s="220"/>
      <c r="K47" s="220"/>
      <c r="L47" s="220"/>
      <c r="M47" s="220"/>
      <c r="N47" s="220"/>
      <c r="O47" s="220"/>
      <c r="P47" s="220"/>
      <c r="Q47" s="220"/>
      <c r="R47" s="220"/>
      <c r="S47" s="220"/>
      <c r="T47" s="220"/>
      <c r="U47" s="220"/>
      <c r="V47" s="220"/>
      <c r="W47" s="220"/>
      <c r="X47" s="220"/>
      <c r="Y47" s="220"/>
      <c r="Z47" s="221"/>
    </row>
    <row r="48" ht="15.75" customHeight="1">
      <c r="A48" s="224">
        <v>2021.0</v>
      </c>
      <c r="B48" s="224" t="s">
        <v>114</v>
      </c>
      <c r="C48" s="214" t="s">
        <v>386</v>
      </c>
      <c r="D48" s="214" t="s">
        <v>387</v>
      </c>
      <c r="E48" s="214" t="s">
        <v>388</v>
      </c>
      <c r="F48" s="214"/>
      <c r="G48" s="214"/>
      <c r="H48" s="214"/>
      <c r="I48" s="214"/>
      <c r="J48" s="214"/>
      <c r="K48" s="214"/>
      <c r="L48" s="214"/>
      <c r="M48" s="214"/>
      <c r="N48" s="214"/>
      <c r="O48" s="214"/>
      <c r="P48" s="214"/>
      <c r="Q48" s="214"/>
      <c r="R48" s="214"/>
      <c r="S48" s="214"/>
      <c r="T48" s="214"/>
      <c r="U48" s="214"/>
      <c r="V48" s="214"/>
      <c r="W48" s="214"/>
      <c r="X48" s="214"/>
      <c r="Y48" s="214"/>
      <c r="Z48" s="201"/>
    </row>
    <row r="49" ht="15.75" customHeight="1">
      <c r="A49" s="44"/>
      <c r="B49" s="44"/>
      <c r="C49" s="214" t="s">
        <v>389</v>
      </c>
      <c r="D49" s="214" t="s">
        <v>153</v>
      </c>
      <c r="E49" s="214" t="s">
        <v>390</v>
      </c>
      <c r="F49" s="214"/>
      <c r="G49" s="214"/>
      <c r="H49" s="214"/>
      <c r="I49" s="214"/>
      <c r="J49" s="214"/>
      <c r="K49" s="214"/>
      <c r="L49" s="214"/>
      <c r="M49" s="214"/>
      <c r="N49" s="214"/>
      <c r="O49" s="214"/>
      <c r="P49" s="214"/>
      <c r="Q49" s="214"/>
      <c r="R49" s="214"/>
      <c r="S49" s="214"/>
      <c r="T49" s="214"/>
      <c r="U49" s="214"/>
      <c r="V49" s="214"/>
      <c r="W49" s="214"/>
      <c r="X49" s="214"/>
      <c r="Y49" s="214"/>
      <c r="Z49" s="201"/>
    </row>
    <row r="50" ht="15.75" customHeight="1">
      <c r="A50" s="44"/>
      <c r="B50" s="44"/>
      <c r="C50" s="214" t="s">
        <v>391</v>
      </c>
      <c r="D50" s="214" t="s">
        <v>392</v>
      </c>
      <c r="E50" s="214" t="s">
        <v>393</v>
      </c>
      <c r="F50" s="214"/>
      <c r="G50" s="214"/>
      <c r="H50" s="214"/>
      <c r="I50" s="214"/>
      <c r="J50" s="214"/>
      <c r="K50" s="214"/>
      <c r="L50" s="214"/>
      <c r="M50" s="214"/>
      <c r="N50" s="214"/>
      <c r="O50" s="214"/>
      <c r="P50" s="214"/>
      <c r="Q50" s="214"/>
      <c r="R50" s="214"/>
      <c r="S50" s="214"/>
      <c r="T50" s="214"/>
      <c r="U50" s="214"/>
      <c r="V50" s="214"/>
      <c r="W50" s="214"/>
      <c r="X50" s="214"/>
      <c r="Y50" s="214"/>
      <c r="Z50" s="201"/>
    </row>
    <row r="51" ht="15.75" customHeight="1">
      <c r="A51" s="44"/>
      <c r="B51" s="44"/>
      <c r="C51" s="214" t="s">
        <v>394</v>
      </c>
      <c r="D51" s="229" t="s">
        <v>395</v>
      </c>
      <c r="E51" s="214" t="s">
        <v>396</v>
      </c>
      <c r="F51" s="214"/>
      <c r="G51" s="214"/>
      <c r="H51" s="214"/>
      <c r="I51" s="214"/>
      <c r="J51" s="214"/>
      <c r="K51" s="214"/>
      <c r="L51" s="214"/>
      <c r="M51" s="214"/>
      <c r="N51" s="214"/>
      <c r="O51" s="214"/>
      <c r="P51" s="214"/>
      <c r="Q51" s="214"/>
      <c r="R51" s="214"/>
      <c r="S51" s="214"/>
      <c r="T51" s="214"/>
      <c r="U51" s="214"/>
      <c r="V51" s="214"/>
      <c r="W51" s="214"/>
      <c r="X51" s="214"/>
      <c r="Y51" s="214"/>
      <c r="Z51" s="201"/>
    </row>
    <row r="52" ht="15.75" customHeight="1">
      <c r="A52" s="44"/>
      <c r="B52" s="44"/>
      <c r="C52" s="214" t="s">
        <v>397</v>
      </c>
      <c r="D52" s="214" t="s">
        <v>398</v>
      </c>
      <c r="E52" s="214" t="s">
        <v>399</v>
      </c>
      <c r="F52" s="214"/>
      <c r="G52" s="214"/>
      <c r="H52" s="214"/>
      <c r="I52" s="214"/>
      <c r="J52" s="214"/>
      <c r="K52" s="214"/>
      <c r="L52" s="214"/>
      <c r="M52" s="214"/>
      <c r="N52" s="214"/>
      <c r="O52" s="214"/>
      <c r="P52" s="214"/>
      <c r="Q52" s="214"/>
      <c r="R52" s="214"/>
      <c r="S52" s="214"/>
      <c r="T52" s="214"/>
      <c r="U52" s="214"/>
      <c r="V52" s="214"/>
      <c r="W52" s="214"/>
      <c r="X52" s="214"/>
      <c r="Y52" s="214"/>
      <c r="Z52" s="201"/>
    </row>
    <row r="53" ht="15.75" customHeight="1">
      <c r="A53" s="68"/>
      <c r="B53" s="68"/>
      <c r="C53" s="214" t="s">
        <v>400</v>
      </c>
      <c r="D53" s="214" t="s">
        <v>401</v>
      </c>
      <c r="E53" s="214" t="s">
        <v>402</v>
      </c>
      <c r="F53" s="214"/>
      <c r="G53" s="214"/>
      <c r="H53" s="214"/>
      <c r="I53" s="214"/>
      <c r="J53" s="214"/>
      <c r="K53" s="214"/>
      <c r="L53" s="214"/>
      <c r="M53" s="214"/>
      <c r="N53" s="214"/>
      <c r="O53" s="214"/>
      <c r="P53" s="214"/>
      <c r="Q53" s="214"/>
      <c r="R53" s="214"/>
      <c r="S53" s="214"/>
      <c r="T53" s="214"/>
      <c r="U53" s="214"/>
      <c r="V53" s="214"/>
      <c r="W53" s="214"/>
      <c r="X53" s="214"/>
      <c r="Y53" s="214"/>
      <c r="Z53" s="201"/>
    </row>
    <row r="54" ht="15.75" customHeight="1">
      <c r="A54" s="230">
        <v>44189.0</v>
      </c>
      <c r="B54" s="217" t="s">
        <v>114</v>
      </c>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1"/>
    </row>
    <row r="55" ht="15.75" customHeight="1">
      <c r="A55" s="44"/>
      <c r="B55" s="44"/>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1"/>
    </row>
    <row r="56" ht="15.75" customHeight="1">
      <c r="A56" s="44"/>
      <c r="B56" s="44"/>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1"/>
    </row>
    <row r="57" ht="15.75" customHeight="1">
      <c r="A57" s="44"/>
      <c r="B57" s="44"/>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1"/>
    </row>
    <row r="58" ht="15.75" customHeight="1">
      <c r="A58" s="44"/>
      <c r="B58" s="44"/>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1"/>
    </row>
    <row r="59" ht="15.75" customHeight="1">
      <c r="A59" s="44"/>
      <c r="B59" s="44"/>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1"/>
    </row>
    <row r="60" ht="15.75" customHeight="1">
      <c r="A60" s="44"/>
      <c r="B60" s="44"/>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1"/>
    </row>
    <row r="61" ht="15.75" customHeight="1">
      <c r="A61" s="44"/>
      <c r="B61" s="44"/>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1"/>
    </row>
    <row r="62" ht="15.75" customHeight="1">
      <c r="A62" s="44"/>
      <c r="B62" s="44"/>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1"/>
    </row>
    <row r="63" ht="15.75" customHeight="1">
      <c r="A63" s="44"/>
      <c r="B63" s="44"/>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1"/>
    </row>
    <row r="64" ht="15.75" customHeight="1">
      <c r="A64" s="44"/>
      <c r="B64" s="44"/>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1"/>
    </row>
    <row r="65" ht="15.75" customHeight="1">
      <c r="A65" s="44"/>
      <c r="B65" s="44"/>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1"/>
    </row>
    <row r="66" ht="15.75" customHeight="1">
      <c r="A66" s="44"/>
      <c r="B66" s="44"/>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1"/>
    </row>
    <row r="67" ht="15.75" customHeight="1">
      <c r="A67" s="68"/>
      <c r="B67" s="68"/>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1"/>
    </row>
    <row r="68" ht="15.75" customHeight="1">
      <c r="A68" s="231">
        <v>2019.0</v>
      </c>
      <c r="B68" s="231" t="s">
        <v>114</v>
      </c>
      <c r="C68" s="214" t="s">
        <v>42</v>
      </c>
      <c r="D68" s="214"/>
      <c r="E68" s="214"/>
      <c r="F68" s="214"/>
      <c r="G68" s="214"/>
      <c r="H68" s="214"/>
      <c r="I68" s="214"/>
      <c r="J68" s="214"/>
      <c r="K68" s="214"/>
      <c r="L68" s="214"/>
      <c r="M68" s="214"/>
      <c r="N68" s="214"/>
      <c r="O68" s="214"/>
      <c r="P68" s="214"/>
      <c r="Q68" s="214"/>
      <c r="R68" s="214"/>
      <c r="S68" s="214"/>
      <c r="T68" s="214"/>
      <c r="U68" s="214"/>
      <c r="V68" s="214"/>
      <c r="W68" s="214"/>
      <c r="X68" s="214"/>
      <c r="Y68" s="214"/>
      <c r="Z68" s="201"/>
    </row>
    <row r="69" ht="15.75" customHeight="1">
      <c r="A69" s="232">
        <v>2018.0</v>
      </c>
      <c r="B69" s="232" t="s">
        <v>114</v>
      </c>
      <c r="C69" s="220" t="s">
        <v>42</v>
      </c>
      <c r="D69" s="220"/>
      <c r="E69" s="220"/>
      <c r="F69" s="220"/>
      <c r="G69" s="220"/>
      <c r="H69" s="220"/>
      <c r="I69" s="220"/>
      <c r="J69" s="220"/>
      <c r="K69" s="220"/>
      <c r="L69" s="220"/>
      <c r="M69" s="220"/>
      <c r="N69" s="220"/>
      <c r="O69" s="220"/>
      <c r="P69" s="220"/>
      <c r="Q69" s="220"/>
      <c r="R69" s="220"/>
      <c r="S69" s="220"/>
      <c r="T69" s="220"/>
      <c r="U69" s="220"/>
      <c r="V69" s="220"/>
      <c r="W69" s="220"/>
      <c r="X69" s="220"/>
      <c r="Y69" s="220"/>
      <c r="Z69" s="221"/>
    </row>
    <row r="70" ht="15.75" customHeight="1">
      <c r="A70" s="211">
        <v>43096.0</v>
      </c>
      <c r="B70" s="224" t="s">
        <v>114</v>
      </c>
      <c r="C70" s="214" t="s">
        <v>403</v>
      </c>
      <c r="D70" s="214" t="s">
        <v>404</v>
      </c>
      <c r="E70" s="214" t="s">
        <v>405</v>
      </c>
      <c r="F70" s="214"/>
      <c r="G70" s="214"/>
      <c r="H70" s="214"/>
      <c r="I70" s="214"/>
      <c r="J70" s="214"/>
      <c r="K70" s="214"/>
      <c r="L70" s="214"/>
      <c r="M70" s="214"/>
      <c r="N70" s="214"/>
      <c r="O70" s="214"/>
      <c r="P70" s="214"/>
      <c r="Q70" s="214"/>
      <c r="R70" s="214"/>
      <c r="S70" s="214"/>
      <c r="T70" s="214"/>
      <c r="U70" s="214"/>
      <c r="V70" s="214"/>
      <c r="W70" s="214"/>
      <c r="X70" s="214"/>
      <c r="Y70" s="214"/>
      <c r="Z70" s="201"/>
    </row>
    <row r="71" ht="15.75" customHeight="1">
      <c r="A71" s="44"/>
      <c r="B71" s="44"/>
      <c r="C71" s="229" t="s">
        <v>298</v>
      </c>
      <c r="D71" s="229" t="s">
        <v>406</v>
      </c>
      <c r="E71" s="233" t="s">
        <v>407</v>
      </c>
      <c r="F71" s="214"/>
      <c r="G71" s="214"/>
      <c r="H71" s="214"/>
      <c r="I71" s="214"/>
      <c r="J71" s="214"/>
      <c r="K71" s="214"/>
      <c r="L71" s="214"/>
      <c r="M71" s="214"/>
      <c r="N71" s="214"/>
      <c r="O71" s="214"/>
      <c r="P71" s="214"/>
      <c r="Q71" s="214"/>
      <c r="R71" s="214"/>
      <c r="S71" s="214"/>
      <c r="T71" s="214"/>
      <c r="U71" s="214"/>
      <c r="V71" s="214"/>
      <c r="W71" s="214"/>
      <c r="X71" s="214"/>
      <c r="Y71" s="214"/>
      <c r="Z71" s="201"/>
    </row>
    <row r="72" ht="15.75" customHeight="1">
      <c r="A72" s="44"/>
      <c r="B72" s="44"/>
      <c r="C72" s="214" t="s">
        <v>408</v>
      </c>
      <c r="D72" s="214" t="s">
        <v>311</v>
      </c>
      <c r="E72" s="234" t="s">
        <v>409</v>
      </c>
      <c r="F72" s="214"/>
      <c r="G72" s="214"/>
      <c r="H72" s="214"/>
      <c r="I72" s="214"/>
      <c r="J72" s="214"/>
      <c r="K72" s="214"/>
      <c r="L72" s="214"/>
      <c r="M72" s="214"/>
      <c r="N72" s="214"/>
      <c r="O72" s="214"/>
      <c r="P72" s="214"/>
      <c r="Q72" s="214"/>
      <c r="R72" s="214"/>
      <c r="S72" s="214"/>
      <c r="T72" s="214"/>
      <c r="U72" s="214"/>
      <c r="V72" s="214"/>
      <c r="W72" s="214"/>
      <c r="X72" s="214"/>
      <c r="Y72" s="214"/>
      <c r="Z72" s="201"/>
    </row>
    <row r="73" ht="15.75" customHeight="1">
      <c r="A73" s="44"/>
      <c r="B73" s="44"/>
      <c r="C73" s="214" t="s">
        <v>81</v>
      </c>
      <c r="D73" s="214" t="s">
        <v>410</v>
      </c>
      <c r="E73" s="214" t="s">
        <v>411</v>
      </c>
      <c r="F73" s="214"/>
      <c r="G73" s="214"/>
      <c r="H73" s="214"/>
      <c r="I73" s="214"/>
      <c r="J73" s="214"/>
      <c r="K73" s="214"/>
      <c r="L73" s="214"/>
      <c r="M73" s="214"/>
      <c r="N73" s="214"/>
      <c r="O73" s="214"/>
      <c r="P73" s="214"/>
      <c r="Q73" s="214"/>
      <c r="R73" s="214"/>
      <c r="S73" s="214"/>
      <c r="T73" s="214"/>
      <c r="U73" s="214"/>
      <c r="V73" s="214"/>
      <c r="W73" s="214"/>
      <c r="X73" s="214"/>
      <c r="Y73" s="214"/>
      <c r="Z73" s="201"/>
    </row>
    <row r="74" ht="15.75" customHeight="1">
      <c r="A74" s="44"/>
      <c r="B74" s="44"/>
      <c r="C74" s="229" t="s">
        <v>412</v>
      </c>
      <c r="D74" s="229" t="s">
        <v>413</v>
      </c>
      <c r="E74" s="233" t="s">
        <v>414</v>
      </c>
      <c r="F74" s="214"/>
      <c r="G74" s="214"/>
      <c r="H74" s="214"/>
      <c r="I74" s="214"/>
      <c r="J74" s="214"/>
      <c r="K74" s="214"/>
      <c r="L74" s="214"/>
      <c r="M74" s="214"/>
      <c r="N74" s="214"/>
      <c r="O74" s="214"/>
      <c r="P74" s="214"/>
      <c r="Q74" s="214"/>
      <c r="R74" s="214"/>
      <c r="S74" s="214"/>
      <c r="T74" s="214"/>
      <c r="U74" s="214"/>
      <c r="V74" s="214"/>
      <c r="W74" s="214"/>
      <c r="X74" s="214"/>
      <c r="Y74" s="214"/>
      <c r="Z74" s="201"/>
    </row>
    <row r="75" ht="15.75" customHeight="1">
      <c r="A75" s="44"/>
      <c r="B75" s="44"/>
      <c r="C75" s="229" t="s">
        <v>249</v>
      </c>
      <c r="D75" s="229"/>
      <c r="E75" s="233"/>
      <c r="F75" s="214"/>
      <c r="G75" s="214"/>
      <c r="H75" s="214"/>
      <c r="I75" s="214"/>
      <c r="J75" s="214"/>
      <c r="K75" s="214"/>
      <c r="L75" s="214"/>
      <c r="M75" s="214"/>
      <c r="N75" s="214"/>
      <c r="O75" s="214"/>
      <c r="P75" s="214"/>
      <c r="Q75" s="214"/>
      <c r="R75" s="214"/>
      <c r="S75" s="214"/>
      <c r="T75" s="214"/>
      <c r="U75" s="214"/>
      <c r="V75" s="214"/>
      <c r="W75" s="214"/>
      <c r="X75" s="214"/>
      <c r="Y75" s="214"/>
      <c r="Z75" s="201"/>
    </row>
    <row r="76" ht="15.75" customHeight="1">
      <c r="A76" s="44"/>
      <c r="B76" s="44"/>
      <c r="C76" s="229" t="s">
        <v>249</v>
      </c>
      <c r="D76" s="229"/>
      <c r="E76" s="233"/>
      <c r="F76" s="214"/>
      <c r="G76" s="214"/>
      <c r="H76" s="214"/>
      <c r="I76" s="214"/>
      <c r="J76" s="214"/>
      <c r="K76" s="214"/>
      <c r="L76" s="214"/>
      <c r="M76" s="214"/>
      <c r="N76" s="214"/>
      <c r="O76" s="214"/>
      <c r="P76" s="214"/>
      <c r="Q76" s="214"/>
      <c r="R76" s="214"/>
      <c r="S76" s="214"/>
      <c r="T76" s="214"/>
      <c r="U76" s="214"/>
      <c r="V76" s="214"/>
      <c r="W76" s="214"/>
      <c r="X76" s="214"/>
      <c r="Y76" s="214"/>
      <c r="Z76" s="201"/>
    </row>
    <row r="77" ht="15.75" customHeight="1">
      <c r="A77" s="44"/>
      <c r="B77" s="44"/>
      <c r="C77" s="229" t="s">
        <v>249</v>
      </c>
      <c r="D77" s="229"/>
      <c r="E77" s="233"/>
      <c r="F77" s="214"/>
      <c r="G77" s="214"/>
      <c r="H77" s="214"/>
      <c r="I77" s="214"/>
      <c r="J77" s="214"/>
      <c r="K77" s="214"/>
      <c r="L77" s="214"/>
      <c r="M77" s="214"/>
      <c r="N77" s="214"/>
      <c r="O77" s="214"/>
      <c r="P77" s="214"/>
      <c r="Q77" s="214"/>
      <c r="R77" s="214"/>
      <c r="S77" s="214"/>
      <c r="T77" s="214"/>
      <c r="U77" s="214"/>
      <c r="V77" s="214"/>
      <c r="W77" s="214"/>
      <c r="X77" s="214"/>
      <c r="Y77" s="214"/>
      <c r="Z77" s="201"/>
    </row>
    <row r="78" ht="15.75" customHeight="1">
      <c r="A78" s="44"/>
      <c r="B78" s="44"/>
      <c r="C78" s="229" t="s">
        <v>249</v>
      </c>
      <c r="D78" s="229"/>
      <c r="E78" s="233"/>
      <c r="F78" s="214"/>
      <c r="G78" s="214"/>
      <c r="H78" s="214"/>
      <c r="I78" s="214"/>
      <c r="J78" s="214"/>
      <c r="K78" s="214"/>
      <c r="L78" s="214"/>
      <c r="M78" s="214"/>
      <c r="N78" s="214"/>
      <c r="O78" s="214"/>
      <c r="P78" s="214"/>
      <c r="Q78" s="214"/>
      <c r="R78" s="214"/>
      <c r="S78" s="214"/>
      <c r="T78" s="214"/>
      <c r="U78" s="214"/>
      <c r="V78" s="214"/>
      <c r="W78" s="214"/>
      <c r="X78" s="214"/>
      <c r="Y78" s="214"/>
      <c r="Z78" s="201"/>
    </row>
    <row r="79" ht="15.75" customHeight="1">
      <c r="A79" s="44"/>
      <c r="B79" s="44"/>
      <c r="C79" s="229" t="s">
        <v>249</v>
      </c>
      <c r="D79" s="229"/>
      <c r="E79" s="233"/>
      <c r="F79" s="214"/>
      <c r="G79" s="214"/>
      <c r="H79" s="214"/>
      <c r="I79" s="214"/>
      <c r="J79" s="214"/>
      <c r="K79" s="214"/>
      <c r="L79" s="214"/>
      <c r="M79" s="214"/>
      <c r="N79" s="214"/>
      <c r="O79" s="214"/>
      <c r="P79" s="214"/>
      <c r="Q79" s="214"/>
      <c r="R79" s="214"/>
      <c r="S79" s="214"/>
      <c r="T79" s="214"/>
      <c r="U79" s="214"/>
      <c r="V79" s="214"/>
      <c r="W79" s="214"/>
      <c r="X79" s="214"/>
      <c r="Y79" s="214"/>
      <c r="Z79" s="201"/>
    </row>
    <row r="80" ht="15.75" customHeight="1">
      <c r="A80" s="44"/>
      <c r="B80" s="44"/>
      <c r="C80" s="229" t="s">
        <v>249</v>
      </c>
      <c r="D80" s="229"/>
      <c r="E80" s="233"/>
      <c r="F80" s="214"/>
      <c r="G80" s="214"/>
      <c r="H80" s="214"/>
      <c r="I80" s="214"/>
      <c r="J80" s="214"/>
      <c r="K80" s="214"/>
      <c r="L80" s="214"/>
      <c r="M80" s="214"/>
      <c r="N80" s="214"/>
      <c r="O80" s="214"/>
      <c r="P80" s="214"/>
      <c r="Q80" s="214"/>
      <c r="R80" s="214"/>
      <c r="S80" s="214"/>
      <c r="T80" s="214"/>
      <c r="U80" s="214"/>
      <c r="V80" s="214"/>
      <c r="W80" s="214"/>
      <c r="X80" s="214"/>
      <c r="Y80" s="214"/>
      <c r="Z80" s="201"/>
    </row>
    <row r="81" ht="15.75" customHeight="1">
      <c r="A81" s="44"/>
      <c r="B81" s="44"/>
      <c r="C81" s="229" t="s">
        <v>249</v>
      </c>
      <c r="D81" s="229"/>
      <c r="E81" s="233"/>
      <c r="F81" s="214"/>
      <c r="G81" s="214"/>
      <c r="H81" s="214"/>
      <c r="I81" s="214"/>
      <c r="J81" s="214"/>
      <c r="K81" s="214"/>
      <c r="L81" s="214"/>
      <c r="M81" s="214"/>
      <c r="N81" s="214"/>
      <c r="O81" s="214"/>
      <c r="P81" s="214"/>
      <c r="Q81" s="214"/>
      <c r="R81" s="214"/>
      <c r="S81" s="214"/>
      <c r="T81" s="214"/>
      <c r="U81" s="214"/>
      <c r="V81" s="214"/>
      <c r="W81" s="214"/>
      <c r="X81" s="214"/>
      <c r="Y81" s="214"/>
      <c r="Z81" s="201"/>
    </row>
    <row r="82" ht="15.75" customHeight="1">
      <c r="A82" s="44"/>
      <c r="B82" s="44"/>
      <c r="C82" s="229" t="s">
        <v>249</v>
      </c>
      <c r="D82" s="229"/>
      <c r="E82" s="233"/>
      <c r="F82" s="214"/>
      <c r="G82" s="214"/>
      <c r="H82" s="214"/>
      <c r="I82" s="214"/>
      <c r="J82" s="214"/>
      <c r="K82" s="214"/>
      <c r="L82" s="214"/>
      <c r="M82" s="214"/>
      <c r="N82" s="214"/>
      <c r="O82" s="214"/>
      <c r="P82" s="214"/>
      <c r="Q82" s="214"/>
      <c r="R82" s="214"/>
      <c r="S82" s="214"/>
      <c r="T82" s="214"/>
      <c r="U82" s="214"/>
      <c r="V82" s="214"/>
      <c r="W82" s="214"/>
      <c r="X82" s="214"/>
      <c r="Y82" s="214"/>
      <c r="Z82" s="201"/>
    </row>
    <row r="83" ht="15.75" customHeight="1">
      <c r="A83" s="44"/>
      <c r="B83" s="44"/>
      <c r="C83" s="229" t="s">
        <v>249</v>
      </c>
      <c r="D83" s="229"/>
      <c r="E83" s="233"/>
      <c r="F83" s="214"/>
      <c r="G83" s="214"/>
      <c r="H83" s="214"/>
      <c r="I83" s="214"/>
      <c r="J83" s="214"/>
      <c r="K83" s="214"/>
      <c r="L83" s="214"/>
      <c r="M83" s="214"/>
      <c r="N83" s="214"/>
      <c r="O83" s="214"/>
      <c r="P83" s="214"/>
      <c r="Q83" s="214"/>
      <c r="R83" s="214"/>
      <c r="S83" s="214"/>
      <c r="T83" s="214"/>
      <c r="U83" s="214"/>
      <c r="V83" s="214"/>
      <c r="W83" s="214"/>
      <c r="X83" s="214"/>
      <c r="Y83" s="214"/>
      <c r="Z83" s="201"/>
    </row>
    <row r="84" ht="15.75" customHeight="1">
      <c r="A84" s="44"/>
      <c r="B84" s="44"/>
      <c r="C84" s="229" t="s">
        <v>249</v>
      </c>
      <c r="D84" s="229"/>
      <c r="E84" s="233"/>
      <c r="F84" s="214"/>
      <c r="G84" s="214"/>
      <c r="H84" s="214"/>
      <c r="I84" s="214"/>
      <c r="J84" s="214"/>
      <c r="K84" s="214"/>
      <c r="L84" s="214"/>
      <c r="M84" s="214"/>
      <c r="N84" s="214"/>
      <c r="O84" s="214"/>
      <c r="P84" s="214"/>
      <c r="Q84" s="214"/>
      <c r="R84" s="214"/>
      <c r="S84" s="214"/>
      <c r="T84" s="214"/>
      <c r="U84" s="214"/>
      <c r="V84" s="214"/>
      <c r="W84" s="214"/>
      <c r="X84" s="214"/>
      <c r="Y84" s="214"/>
      <c r="Z84" s="201"/>
    </row>
    <row r="85" ht="15.75" customHeight="1">
      <c r="A85" s="44"/>
      <c r="B85" s="44"/>
      <c r="C85" s="229" t="s">
        <v>249</v>
      </c>
      <c r="D85" s="229"/>
      <c r="E85" s="233"/>
      <c r="F85" s="214"/>
      <c r="G85" s="214"/>
      <c r="H85" s="214"/>
      <c r="I85" s="214"/>
      <c r="J85" s="214"/>
      <c r="K85" s="214"/>
      <c r="L85" s="214"/>
      <c r="M85" s="214"/>
      <c r="N85" s="214"/>
      <c r="O85" s="214"/>
      <c r="P85" s="214"/>
      <c r="Q85" s="214"/>
      <c r="R85" s="214"/>
      <c r="S85" s="214"/>
      <c r="T85" s="214"/>
      <c r="U85" s="214"/>
      <c r="V85" s="214"/>
      <c r="W85" s="214"/>
      <c r="X85" s="214"/>
      <c r="Y85" s="214"/>
      <c r="Z85" s="201"/>
    </row>
    <row r="86" ht="15.75" customHeight="1">
      <c r="A86" s="44"/>
      <c r="B86" s="44"/>
      <c r="C86" s="229" t="s">
        <v>249</v>
      </c>
      <c r="D86" s="229"/>
      <c r="E86" s="233"/>
      <c r="F86" s="214"/>
      <c r="G86" s="214"/>
      <c r="H86" s="214"/>
      <c r="I86" s="214"/>
      <c r="J86" s="214"/>
      <c r="K86" s="214"/>
      <c r="L86" s="214"/>
      <c r="M86" s="214"/>
      <c r="N86" s="214"/>
      <c r="O86" s="214"/>
      <c r="P86" s="214"/>
      <c r="Q86" s="214"/>
      <c r="R86" s="214"/>
      <c r="S86" s="214"/>
      <c r="T86" s="214"/>
      <c r="U86" s="214"/>
      <c r="V86" s="214"/>
      <c r="W86" s="214"/>
      <c r="X86" s="214"/>
      <c r="Y86" s="214"/>
      <c r="Z86" s="201"/>
    </row>
    <row r="87" ht="15.75" customHeight="1">
      <c r="A87" s="44"/>
      <c r="B87" s="44"/>
      <c r="C87" s="229" t="s">
        <v>249</v>
      </c>
      <c r="D87" s="229"/>
      <c r="E87" s="233"/>
      <c r="F87" s="214"/>
      <c r="G87" s="214"/>
      <c r="H87" s="214"/>
      <c r="I87" s="214"/>
      <c r="J87" s="214"/>
      <c r="K87" s="214"/>
      <c r="L87" s="214"/>
      <c r="M87" s="214"/>
      <c r="N87" s="214"/>
      <c r="O87" s="214"/>
      <c r="P87" s="214"/>
      <c r="Q87" s="214"/>
      <c r="R87" s="214"/>
      <c r="S87" s="214"/>
      <c r="T87" s="214"/>
      <c r="U87" s="214"/>
      <c r="V87" s="214"/>
      <c r="W87" s="214"/>
      <c r="X87" s="214"/>
      <c r="Y87" s="214"/>
      <c r="Z87" s="201"/>
    </row>
    <row r="88" ht="15.75" customHeight="1">
      <c r="A88" s="68"/>
      <c r="B88" s="68"/>
      <c r="C88" s="229" t="s">
        <v>415</v>
      </c>
      <c r="D88" s="229" t="s">
        <v>415</v>
      </c>
      <c r="E88" s="233" t="s">
        <v>416</v>
      </c>
      <c r="F88" s="214"/>
      <c r="G88" s="214"/>
      <c r="H88" s="214"/>
      <c r="I88" s="214"/>
      <c r="J88" s="214"/>
      <c r="K88" s="214"/>
      <c r="L88" s="214"/>
      <c r="M88" s="214"/>
      <c r="N88" s="214"/>
      <c r="O88" s="214"/>
      <c r="P88" s="214"/>
      <c r="Q88" s="214"/>
      <c r="R88" s="214"/>
      <c r="S88" s="214"/>
      <c r="T88" s="214"/>
      <c r="U88" s="214"/>
      <c r="V88" s="214"/>
      <c r="W88" s="214"/>
      <c r="X88" s="214"/>
      <c r="Y88" s="214"/>
      <c r="Z88" s="201"/>
    </row>
    <row r="89" ht="15.75" customHeight="1">
      <c r="A89" s="230">
        <v>42734.0</v>
      </c>
      <c r="B89" s="217" t="s">
        <v>114</v>
      </c>
      <c r="C89" s="235" t="s">
        <v>417</v>
      </c>
      <c r="D89" s="235" t="s">
        <v>418</v>
      </c>
      <c r="E89" s="235" t="s">
        <v>419</v>
      </c>
      <c r="F89" s="220"/>
      <c r="G89" s="220"/>
      <c r="H89" s="220"/>
      <c r="I89" s="220"/>
      <c r="J89" s="220"/>
      <c r="K89" s="220"/>
      <c r="L89" s="220"/>
      <c r="M89" s="220"/>
      <c r="N89" s="220"/>
      <c r="O89" s="220"/>
      <c r="P89" s="220"/>
      <c r="Q89" s="220"/>
      <c r="R89" s="220"/>
      <c r="S89" s="220"/>
      <c r="T89" s="220"/>
      <c r="U89" s="220"/>
      <c r="V89" s="220"/>
      <c r="W89" s="220"/>
      <c r="X89" s="220"/>
      <c r="Y89" s="220"/>
      <c r="Z89" s="221"/>
    </row>
    <row r="90" ht="15.75" customHeight="1">
      <c r="A90" s="44"/>
      <c r="B90" s="44"/>
      <c r="C90" s="235" t="s">
        <v>420</v>
      </c>
      <c r="D90" s="235" t="s">
        <v>421</v>
      </c>
      <c r="E90" s="235" t="s">
        <v>422</v>
      </c>
      <c r="F90" s="220"/>
      <c r="G90" s="220"/>
      <c r="H90" s="220"/>
      <c r="I90" s="220"/>
      <c r="J90" s="220"/>
      <c r="K90" s="220"/>
      <c r="L90" s="220"/>
      <c r="M90" s="220"/>
      <c r="N90" s="220"/>
      <c r="O90" s="220"/>
      <c r="P90" s="220"/>
      <c r="Q90" s="220"/>
      <c r="R90" s="220"/>
      <c r="S90" s="220"/>
      <c r="T90" s="220"/>
      <c r="U90" s="220"/>
      <c r="V90" s="220"/>
      <c r="W90" s="220"/>
      <c r="X90" s="220"/>
      <c r="Y90" s="220"/>
      <c r="Z90" s="221"/>
    </row>
    <row r="91" ht="15.75" customHeight="1">
      <c r="A91" s="44"/>
      <c r="B91" s="44"/>
      <c r="C91" s="235" t="s">
        <v>423</v>
      </c>
      <c r="D91" s="235" t="s">
        <v>424</v>
      </c>
      <c r="E91" s="235" t="s">
        <v>425</v>
      </c>
      <c r="F91" s="220"/>
      <c r="G91" s="220"/>
      <c r="H91" s="220"/>
      <c r="I91" s="220"/>
      <c r="J91" s="220"/>
      <c r="K91" s="220"/>
      <c r="L91" s="220"/>
      <c r="M91" s="220"/>
      <c r="N91" s="220"/>
      <c r="O91" s="220"/>
      <c r="P91" s="220"/>
      <c r="Q91" s="220"/>
      <c r="R91" s="220"/>
      <c r="S91" s="220"/>
      <c r="T91" s="220"/>
      <c r="U91" s="220"/>
      <c r="V91" s="220"/>
      <c r="W91" s="220"/>
      <c r="X91" s="220"/>
      <c r="Y91" s="220"/>
      <c r="Z91" s="221"/>
    </row>
    <row r="92" ht="15.75" customHeight="1">
      <c r="A92" s="44"/>
      <c r="B92" s="44"/>
      <c r="C92" s="235" t="s">
        <v>102</v>
      </c>
      <c r="D92" s="235" t="s">
        <v>245</v>
      </c>
      <c r="E92" s="235" t="s">
        <v>426</v>
      </c>
      <c r="F92" s="220"/>
      <c r="G92" s="220"/>
      <c r="H92" s="220"/>
      <c r="I92" s="220"/>
      <c r="J92" s="220"/>
      <c r="K92" s="220"/>
      <c r="L92" s="220"/>
      <c r="M92" s="220"/>
      <c r="N92" s="220"/>
      <c r="O92" s="220"/>
      <c r="P92" s="220"/>
      <c r="Q92" s="220"/>
      <c r="R92" s="220"/>
      <c r="S92" s="220"/>
      <c r="T92" s="220"/>
      <c r="U92" s="220"/>
      <c r="V92" s="220"/>
      <c r="W92" s="220"/>
      <c r="X92" s="220"/>
      <c r="Y92" s="220"/>
      <c r="Z92" s="221"/>
    </row>
    <row r="93" ht="15.75" customHeight="1">
      <c r="A93" s="44"/>
      <c r="B93" s="44"/>
      <c r="C93" s="235" t="s">
        <v>135</v>
      </c>
      <c r="D93" s="235" t="s">
        <v>427</v>
      </c>
      <c r="E93" s="235" t="s">
        <v>428</v>
      </c>
      <c r="F93" s="220"/>
      <c r="G93" s="220"/>
      <c r="H93" s="220"/>
      <c r="I93" s="220"/>
      <c r="J93" s="220"/>
      <c r="K93" s="220"/>
      <c r="L93" s="220"/>
      <c r="M93" s="220"/>
      <c r="N93" s="220"/>
      <c r="O93" s="220"/>
      <c r="P93" s="220"/>
      <c r="Q93" s="220"/>
      <c r="R93" s="220"/>
      <c r="S93" s="220"/>
      <c r="T93" s="220"/>
      <c r="U93" s="220"/>
      <c r="V93" s="220"/>
      <c r="W93" s="220"/>
      <c r="X93" s="220"/>
      <c r="Y93" s="220"/>
      <c r="Z93" s="221"/>
    </row>
    <row r="94" ht="15.75" customHeight="1">
      <c r="A94" s="68"/>
      <c r="B94" s="68"/>
      <c r="C94" s="235" t="s">
        <v>415</v>
      </c>
      <c r="D94" s="235" t="s">
        <v>415</v>
      </c>
      <c r="E94" s="235" t="s">
        <v>429</v>
      </c>
      <c r="F94" s="220"/>
      <c r="G94" s="220"/>
      <c r="H94" s="220"/>
      <c r="I94" s="220"/>
      <c r="J94" s="220"/>
      <c r="K94" s="220"/>
      <c r="L94" s="220"/>
      <c r="M94" s="220"/>
      <c r="N94" s="220"/>
      <c r="O94" s="220"/>
      <c r="P94" s="220"/>
      <c r="Q94" s="220"/>
      <c r="R94" s="220"/>
      <c r="S94" s="220"/>
      <c r="T94" s="220"/>
      <c r="U94" s="220"/>
      <c r="V94" s="220"/>
      <c r="W94" s="220"/>
      <c r="X94" s="220"/>
      <c r="Y94" s="220"/>
      <c r="Z94" s="221"/>
    </row>
    <row r="95" ht="15.75" customHeight="1">
      <c r="A95" s="224" t="s">
        <v>430</v>
      </c>
      <c r="B95" s="224" t="s">
        <v>114</v>
      </c>
      <c r="C95" s="214" t="s">
        <v>431</v>
      </c>
      <c r="D95" s="214" t="s">
        <v>432</v>
      </c>
      <c r="E95" s="229" t="s">
        <v>433</v>
      </c>
      <c r="F95" s="214"/>
      <c r="G95" s="214"/>
      <c r="H95" s="214"/>
      <c r="I95" s="214"/>
      <c r="J95" s="214"/>
      <c r="K95" s="214"/>
      <c r="L95" s="214"/>
      <c r="M95" s="214"/>
      <c r="N95" s="214"/>
      <c r="O95" s="214"/>
      <c r="P95" s="214"/>
      <c r="Q95" s="214"/>
      <c r="R95" s="214"/>
      <c r="S95" s="214"/>
      <c r="T95" s="214"/>
      <c r="U95" s="214"/>
      <c r="V95" s="214"/>
      <c r="W95" s="214"/>
      <c r="X95" s="214"/>
      <c r="Y95" s="214"/>
      <c r="Z95" s="201"/>
    </row>
    <row r="96" ht="15.75" customHeight="1">
      <c r="A96" s="236">
        <v>42299.0</v>
      </c>
      <c r="B96" s="224" t="s">
        <v>114</v>
      </c>
      <c r="C96" s="214" t="s">
        <v>434</v>
      </c>
      <c r="D96" s="214" t="s">
        <v>435</v>
      </c>
      <c r="E96" s="168" t="s">
        <v>436</v>
      </c>
      <c r="F96" s="214"/>
      <c r="G96" s="214"/>
      <c r="H96" s="214"/>
      <c r="I96" s="214"/>
      <c r="J96" s="214"/>
      <c r="K96" s="214"/>
      <c r="L96" s="214"/>
      <c r="M96" s="214"/>
      <c r="N96" s="214"/>
      <c r="O96" s="214"/>
      <c r="P96" s="214"/>
      <c r="Q96" s="214"/>
      <c r="R96" s="214"/>
      <c r="S96" s="214"/>
      <c r="T96" s="214"/>
      <c r="U96" s="214"/>
      <c r="V96" s="214"/>
      <c r="W96" s="214"/>
      <c r="X96" s="214"/>
      <c r="Y96" s="214"/>
      <c r="Z96" s="201"/>
    </row>
    <row r="97" ht="15.75" customHeight="1">
      <c r="A97" s="68"/>
      <c r="B97" s="68"/>
      <c r="C97" s="214" t="s">
        <v>149</v>
      </c>
      <c r="D97" s="214" t="s">
        <v>437</v>
      </c>
      <c r="E97" s="168" t="s">
        <v>438</v>
      </c>
      <c r="F97" s="214"/>
      <c r="G97" s="214"/>
      <c r="H97" s="214"/>
      <c r="I97" s="214"/>
      <c r="J97" s="214"/>
      <c r="K97" s="214"/>
      <c r="L97" s="214"/>
      <c r="M97" s="214"/>
      <c r="N97" s="214"/>
      <c r="O97" s="214"/>
      <c r="P97" s="214"/>
      <c r="Q97" s="214"/>
      <c r="R97" s="214"/>
      <c r="S97" s="214"/>
      <c r="T97" s="214"/>
      <c r="U97" s="214"/>
      <c r="V97" s="214"/>
      <c r="W97" s="214"/>
      <c r="X97" s="214"/>
      <c r="Y97" s="214"/>
      <c r="Z97" s="201"/>
    </row>
    <row r="98" ht="15.75" customHeight="1">
      <c r="A98" s="217" t="s">
        <v>439</v>
      </c>
      <c r="B98" s="217" t="s">
        <v>114</v>
      </c>
      <c r="C98" s="220" t="s">
        <v>440</v>
      </c>
      <c r="D98" s="220" t="s">
        <v>441</v>
      </c>
      <c r="E98" s="228" t="s">
        <v>442</v>
      </c>
      <c r="F98" s="220"/>
      <c r="G98" s="220"/>
      <c r="H98" s="220"/>
      <c r="I98" s="220"/>
      <c r="J98" s="220"/>
      <c r="K98" s="220"/>
      <c r="L98" s="220"/>
      <c r="M98" s="220"/>
      <c r="N98" s="220"/>
      <c r="O98" s="220"/>
      <c r="P98" s="220"/>
      <c r="Q98" s="220"/>
      <c r="R98" s="220"/>
      <c r="S98" s="220"/>
      <c r="T98" s="220"/>
      <c r="U98" s="220"/>
      <c r="V98" s="220"/>
      <c r="W98" s="220"/>
      <c r="X98" s="220"/>
      <c r="Y98" s="220"/>
      <c r="Z98" s="221"/>
    </row>
    <row r="99" ht="15.75" customHeight="1">
      <c r="A99" s="68"/>
      <c r="B99" s="68"/>
      <c r="C99" s="220" t="s">
        <v>443</v>
      </c>
      <c r="D99" s="220" t="s">
        <v>444</v>
      </c>
      <c r="E99" s="228" t="s">
        <v>445</v>
      </c>
      <c r="F99" s="220"/>
      <c r="G99" s="220"/>
      <c r="H99" s="220"/>
      <c r="I99" s="220"/>
      <c r="J99" s="220"/>
      <c r="K99" s="220"/>
      <c r="L99" s="220"/>
      <c r="M99" s="220"/>
      <c r="N99" s="220"/>
      <c r="O99" s="220"/>
      <c r="P99" s="220"/>
      <c r="Q99" s="220"/>
      <c r="R99" s="220"/>
      <c r="S99" s="220"/>
      <c r="T99" s="220"/>
      <c r="U99" s="220"/>
      <c r="V99" s="220"/>
      <c r="W99" s="220"/>
      <c r="X99" s="220"/>
      <c r="Y99" s="220"/>
      <c r="Z99" s="221"/>
    </row>
    <row r="100" ht="15.75" customHeight="1">
      <c r="A100" s="212" t="s">
        <v>446</v>
      </c>
      <c r="B100" s="224" t="s">
        <v>114</v>
      </c>
      <c r="C100" s="214" t="s">
        <v>447</v>
      </c>
      <c r="D100" s="214" t="s">
        <v>448</v>
      </c>
      <c r="E100" s="214" t="s">
        <v>449</v>
      </c>
      <c r="F100" s="214"/>
      <c r="G100" s="214"/>
      <c r="H100" s="214"/>
      <c r="I100" s="214"/>
      <c r="J100" s="214"/>
      <c r="K100" s="214"/>
      <c r="L100" s="214"/>
      <c r="M100" s="214"/>
      <c r="N100" s="214"/>
      <c r="O100" s="214"/>
      <c r="P100" s="214"/>
      <c r="Q100" s="214"/>
      <c r="R100" s="214"/>
      <c r="S100" s="214"/>
      <c r="T100" s="214"/>
      <c r="U100" s="214"/>
      <c r="V100" s="214"/>
      <c r="W100" s="214"/>
      <c r="X100" s="214"/>
      <c r="Y100" s="214"/>
      <c r="Z100" s="201"/>
    </row>
    <row r="101" ht="15.75" customHeight="1">
      <c r="A101" s="44"/>
      <c r="B101" s="44"/>
      <c r="C101" s="214" t="s">
        <v>450</v>
      </c>
      <c r="D101" s="214" t="s">
        <v>451</v>
      </c>
      <c r="E101" s="180" t="s">
        <v>452</v>
      </c>
      <c r="F101" s="214"/>
      <c r="G101" s="214"/>
      <c r="H101" s="214"/>
      <c r="I101" s="214"/>
      <c r="J101" s="214"/>
      <c r="K101" s="214"/>
      <c r="L101" s="214"/>
      <c r="M101" s="214"/>
      <c r="N101" s="214"/>
      <c r="O101" s="214"/>
      <c r="P101" s="214"/>
      <c r="Q101" s="214"/>
      <c r="R101" s="214"/>
      <c r="S101" s="214"/>
      <c r="T101" s="214"/>
      <c r="U101" s="214"/>
      <c r="V101" s="214"/>
      <c r="W101" s="214"/>
      <c r="X101" s="214"/>
      <c r="Y101" s="214"/>
      <c r="Z101" s="201"/>
    </row>
    <row r="102" ht="15.75" customHeight="1">
      <c r="A102" s="68"/>
      <c r="B102" s="68"/>
      <c r="C102" s="214" t="s">
        <v>453</v>
      </c>
      <c r="D102" s="214" t="s">
        <v>454</v>
      </c>
      <c r="E102" s="214" t="s">
        <v>455</v>
      </c>
      <c r="F102" s="214"/>
      <c r="G102" s="214"/>
      <c r="H102" s="214"/>
      <c r="I102" s="214"/>
      <c r="J102" s="214"/>
      <c r="K102" s="214"/>
      <c r="L102" s="214"/>
      <c r="M102" s="214"/>
      <c r="N102" s="214"/>
      <c r="O102" s="214"/>
      <c r="P102" s="214"/>
      <c r="Q102" s="214"/>
      <c r="R102" s="214"/>
      <c r="S102" s="214"/>
      <c r="T102" s="214"/>
      <c r="U102" s="214"/>
      <c r="V102" s="214"/>
      <c r="W102" s="214"/>
      <c r="X102" s="214"/>
      <c r="Y102" s="214"/>
      <c r="Z102" s="201"/>
    </row>
    <row r="103" ht="15.75" customHeight="1">
      <c r="A103" s="232">
        <v>2012.0</v>
      </c>
      <c r="B103" s="232" t="s">
        <v>114</v>
      </c>
      <c r="C103" s="220" t="s">
        <v>42</v>
      </c>
      <c r="D103" s="228"/>
      <c r="E103" s="228"/>
      <c r="F103" s="220"/>
      <c r="G103" s="220"/>
      <c r="H103" s="220"/>
      <c r="I103" s="220"/>
      <c r="J103" s="220"/>
      <c r="K103" s="220"/>
      <c r="L103" s="220"/>
      <c r="M103" s="220"/>
      <c r="N103" s="220"/>
      <c r="O103" s="220"/>
      <c r="P103" s="220"/>
      <c r="Q103" s="220"/>
      <c r="R103" s="220"/>
      <c r="S103" s="220"/>
      <c r="T103" s="220"/>
      <c r="U103" s="220"/>
      <c r="V103" s="220"/>
      <c r="W103" s="220"/>
      <c r="X103" s="220"/>
      <c r="Y103" s="220"/>
      <c r="Z103" s="221"/>
    </row>
    <row r="104" ht="15.75" customHeight="1">
      <c r="A104" s="231">
        <v>2011.0</v>
      </c>
      <c r="B104" s="231" t="s">
        <v>114</v>
      </c>
      <c r="C104" s="214" t="s">
        <v>42</v>
      </c>
      <c r="D104" s="180"/>
      <c r="E104" s="180"/>
      <c r="F104" s="214"/>
      <c r="G104" s="214"/>
      <c r="H104" s="214"/>
      <c r="I104" s="214"/>
      <c r="J104" s="214"/>
      <c r="K104" s="214"/>
      <c r="L104" s="214"/>
      <c r="M104" s="214"/>
      <c r="N104" s="214"/>
      <c r="O104" s="214"/>
      <c r="P104" s="214"/>
      <c r="Q104" s="214"/>
      <c r="R104" s="214"/>
      <c r="S104" s="214"/>
      <c r="T104" s="214"/>
      <c r="U104" s="214"/>
      <c r="V104" s="214"/>
      <c r="W104" s="214"/>
      <c r="X104" s="214"/>
      <c r="Y104" s="214"/>
      <c r="Z104" s="201"/>
    </row>
    <row r="105" ht="15.75" customHeight="1">
      <c r="A105" s="217">
        <v>2010.0</v>
      </c>
      <c r="B105" s="217" t="s">
        <v>196</v>
      </c>
      <c r="C105" s="220" t="s">
        <v>456</v>
      </c>
      <c r="D105" s="228" t="s">
        <v>457</v>
      </c>
      <c r="E105" s="228" t="s">
        <v>458</v>
      </c>
      <c r="F105" s="220"/>
      <c r="G105" s="220"/>
      <c r="H105" s="220"/>
      <c r="I105" s="220"/>
      <c r="J105" s="220"/>
      <c r="K105" s="220"/>
      <c r="L105" s="220"/>
      <c r="M105" s="220"/>
      <c r="N105" s="220"/>
      <c r="O105" s="220"/>
      <c r="P105" s="220"/>
      <c r="Q105" s="220"/>
      <c r="R105" s="220"/>
      <c r="S105" s="220"/>
      <c r="T105" s="220"/>
      <c r="U105" s="220"/>
      <c r="V105" s="220"/>
      <c r="W105" s="220"/>
      <c r="X105" s="220"/>
      <c r="Y105" s="220"/>
      <c r="Z105" s="221"/>
    </row>
    <row r="106" ht="15.75" customHeight="1">
      <c r="A106" s="44"/>
      <c r="B106" s="44"/>
      <c r="C106" s="220" t="s">
        <v>459</v>
      </c>
      <c r="D106" s="228" t="s">
        <v>460</v>
      </c>
      <c r="E106" s="228" t="s">
        <v>461</v>
      </c>
      <c r="F106" s="220"/>
      <c r="G106" s="220"/>
      <c r="H106" s="220"/>
      <c r="I106" s="220"/>
      <c r="J106" s="220"/>
      <c r="K106" s="220"/>
      <c r="L106" s="220"/>
      <c r="M106" s="220"/>
      <c r="N106" s="220"/>
      <c r="O106" s="220"/>
      <c r="P106" s="220"/>
      <c r="Q106" s="220"/>
      <c r="R106" s="220"/>
      <c r="S106" s="220"/>
      <c r="T106" s="220"/>
      <c r="U106" s="220"/>
      <c r="V106" s="220"/>
      <c r="W106" s="220"/>
      <c r="X106" s="220"/>
      <c r="Y106" s="220"/>
      <c r="Z106" s="221"/>
    </row>
    <row r="107" ht="15.75" customHeight="1">
      <c r="A107" s="44"/>
      <c r="B107" s="44"/>
      <c r="C107" s="220" t="s">
        <v>462</v>
      </c>
      <c r="D107" s="228" t="s">
        <v>345</v>
      </c>
      <c r="E107" s="228" t="s">
        <v>463</v>
      </c>
      <c r="F107" s="220"/>
      <c r="G107" s="220"/>
      <c r="H107" s="220"/>
      <c r="I107" s="220"/>
      <c r="J107" s="220"/>
      <c r="K107" s="220"/>
      <c r="L107" s="220"/>
      <c r="M107" s="220"/>
      <c r="N107" s="220"/>
      <c r="O107" s="220"/>
      <c r="P107" s="220"/>
      <c r="Q107" s="220"/>
      <c r="R107" s="220"/>
      <c r="S107" s="220"/>
      <c r="T107" s="220"/>
      <c r="U107" s="220"/>
      <c r="V107" s="220"/>
      <c r="W107" s="220"/>
      <c r="X107" s="220"/>
      <c r="Y107" s="220"/>
      <c r="Z107" s="221"/>
    </row>
    <row r="108" ht="15.75" customHeight="1">
      <c r="A108" s="44"/>
      <c r="B108" s="44"/>
      <c r="C108" s="220" t="s">
        <v>464</v>
      </c>
      <c r="D108" s="228" t="s">
        <v>465</v>
      </c>
      <c r="E108" s="228" t="s">
        <v>466</v>
      </c>
      <c r="F108" s="220"/>
      <c r="G108" s="220"/>
      <c r="H108" s="220"/>
      <c r="I108" s="220"/>
      <c r="J108" s="220"/>
      <c r="K108" s="220"/>
      <c r="L108" s="220"/>
      <c r="M108" s="220"/>
      <c r="N108" s="220"/>
      <c r="O108" s="220"/>
      <c r="P108" s="220"/>
      <c r="Q108" s="220"/>
      <c r="R108" s="220"/>
      <c r="S108" s="220"/>
      <c r="T108" s="220"/>
      <c r="U108" s="220"/>
      <c r="V108" s="220"/>
      <c r="W108" s="220"/>
      <c r="X108" s="220"/>
      <c r="Y108" s="220"/>
      <c r="Z108" s="221"/>
    </row>
    <row r="109" ht="15.75" customHeight="1">
      <c r="A109" s="44"/>
      <c r="B109" s="44"/>
      <c r="C109" s="220" t="s">
        <v>467</v>
      </c>
      <c r="D109" s="228" t="s">
        <v>468</v>
      </c>
      <c r="E109" s="228" t="s">
        <v>469</v>
      </c>
      <c r="F109" s="220"/>
      <c r="G109" s="220"/>
      <c r="H109" s="220"/>
      <c r="I109" s="220"/>
      <c r="J109" s="220"/>
      <c r="K109" s="220"/>
      <c r="L109" s="220"/>
      <c r="M109" s="220"/>
      <c r="N109" s="220"/>
      <c r="O109" s="220"/>
      <c r="P109" s="220"/>
      <c r="Q109" s="220"/>
      <c r="R109" s="220"/>
      <c r="S109" s="220"/>
      <c r="T109" s="220"/>
      <c r="U109" s="220"/>
      <c r="V109" s="220"/>
      <c r="W109" s="220"/>
      <c r="X109" s="220"/>
      <c r="Y109" s="220"/>
      <c r="Z109" s="221"/>
    </row>
    <row r="110" ht="15.75" customHeight="1">
      <c r="A110" s="44"/>
      <c r="B110" s="44"/>
      <c r="C110" s="220" t="s">
        <v>470</v>
      </c>
      <c r="D110" s="228" t="s">
        <v>471</v>
      </c>
      <c r="E110" s="228" t="s">
        <v>472</v>
      </c>
      <c r="F110" s="220"/>
      <c r="G110" s="220"/>
      <c r="H110" s="220"/>
      <c r="I110" s="220"/>
      <c r="J110" s="220"/>
      <c r="K110" s="220"/>
      <c r="L110" s="220"/>
      <c r="M110" s="220"/>
      <c r="N110" s="220"/>
      <c r="O110" s="220"/>
      <c r="P110" s="220"/>
      <c r="Q110" s="220"/>
      <c r="R110" s="220"/>
      <c r="S110" s="220"/>
      <c r="T110" s="220"/>
      <c r="U110" s="220"/>
      <c r="V110" s="220"/>
      <c r="W110" s="220"/>
      <c r="X110" s="220"/>
      <c r="Y110" s="220"/>
      <c r="Z110" s="221"/>
    </row>
    <row r="111" ht="15.75" customHeight="1">
      <c r="A111" s="44"/>
      <c r="B111" s="44"/>
      <c r="C111" s="220" t="s">
        <v>376</v>
      </c>
      <c r="D111" s="228" t="s">
        <v>473</v>
      </c>
      <c r="E111" s="228" t="s">
        <v>474</v>
      </c>
      <c r="F111" s="220"/>
      <c r="G111" s="220"/>
      <c r="H111" s="220"/>
      <c r="I111" s="220"/>
      <c r="J111" s="220"/>
      <c r="K111" s="220"/>
      <c r="L111" s="220"/>
      <c r="M111" s="220"/>
      <c r="N111" s="220"/>
      <c r="O111" s="220"/>
      <c r="P111" s="220"/>
      <c r="Q111" s="220"/>
      <c r="R111" s="220"/>
      <c r="S111" s="220"/>
      <c r="T111" s="220"/>
      <c r="U111" s="220"/>
      <c r="V111" s="220"/>
      <c r="W111" s="220"/>
      <c r="X111" s="220"/>
      <c r="Y111" s="220"/>
      <c r="Z111" s="221"/>
    </row>
    <row r="112" ht="15.75" customHeight="1">
      <c r="A112" s="44"/>
      <c r="B112" s="44"/>
      <c r="C112" s="220" t="s">
        <v>475</v>
      </c>
      <c r="D112" s="228" t="s">
        <v>476</v>
      </c>
      <c r="E112" s="228" t="s">
        <v>469</v>
      </c>
      <c r="F112" s="220"/>
      <c r="G112" s="220"/>
      <c r="H112" s="220"/>
      <c r="I112" s="220"/>
      <c r="J112" s="220"/>
      <c r="K112" s="220"/>
      <c r="L112" s="220"/>
      <c r="M112" s="220"/>
      <c r="N112" s="220"/>
      <c r="O112" s="220"/>
      <c r="P112" s="220"/>
      <c r="Q112" s="220"/>
      <c r="R112" s="220"/>
      <c r="S112" s="220"/>
      <c r="T112" s="220"/>
      <c r="U112" s="220"/>
      <c r="V112" s="220"/>
      <c r="W112" s="220"/>
      <c r="X112" s="220"/>
      <c r="Y112" s="220"/>
      <c r="Z112" s="221"/>
    </row>
    <row r="113" ht="15.75" customHeight="1">
      <c r="A113" s="44"/>
      <c r="B113" s="44"/>
      <c r="C113" s="220" t="s">
        <v>477</v>
      </c>
      <c r="D113" s="228" t="s">
        <v>322</v>
      </c>
      <c r="E113" s="228" t="s">
        <v>472</v>
      </c>
      <c r="F113" s="220"/>
      <c r="G113" s="220"/>
      <c r="H113" s="220"/>
      <c r="I113" s="220"/>
      <c r="J113" s="220"/>
      <c r="K113" s="220"/>
      <c r="L113" s="220"/>
      <c r="M113" s="220"/>
      <c r="N113" s="220"/>
      <c r="O113" s="220"/>
      <c r="P113" s="220"/>
      <c r="Q113" s="220"/>
      <c r="R113" s="220"/>
      <c r="S113" s="220"/>
      <c r="T113" s="220"/>
      <c r="U113" s="220"/>
      <c r="V113" s="220"/>
      <c r="W113" s="220"/>
      <c r="X113" s="220"/>
      <c r="Y113" s="220"/>
      <c r="Z113" s="221"/>
    </row>
    <row r="114" ht="15.75" customHeight="1">
      <c r="A114" s="44"/>
      <c r="B114" s="44"/>
      <c r="C114" s="220" t="s">
        <v>478</v>
      </c>
      <c r="D114" s="228" t="s">
        <v>479</v>
      </c>
      <c r="E114" s="228" t="s">
        <v>480</v>
      </c>
      <c r="F114" s="220"/>
      <c r="G114" s="220"/>
      <c r="H114" s="220"/>
      <c r="I114" s="220"/>
      <c r="J114" s="220"/>
      <c r="K114" s="220"/>
      <c r="L114" s="220"/>
      <c r="M114" s="220"/>
      <c r="N114" s="220"/>
      <c r="O114" s="220"/>
      <c r="P114" s="220"/>
      <c r="Q114" s="220"/>
      <c r="R114" s="220"/>
      <c r="S114" s="220"/>
      <c r="T114" s="220"/>
      <c r="U114" s="220"/>
      <c r="V114" s="220"/>
      <c r="W114" s="220"/>
      <c r="X114" s="220"/>
      <c r="Y114" s="220"/>
      <c r="Z114" s="221"/>
    </row>
    <row r="115" ht="15.75" customHeight="1">
      <c r="A115" s="44"/>
      <c r="B115" s="44"/>
      <c r="C115" s="220" t="s">
        <v>481</v>
      </c>
      <c r="D115" s="228" t="s">
        <v>482</v>
      </c>
      <c r="E115" s="228" t="s">
        <v>483</v>
      </c>
      <c r="F115" s="220"/>
      <c r="G115" s="220"/>
      <c r="H115" s="220"/>
      <c r="I115" s="220"/>
      <c r="J115" s="220"/>
      <c r="K115" s="220"/>
      <c r="L115" s="220"/>
      <c r="M115" s="220"/>
      <c r="N115" s="220"/>
      <c r="O115" s="220"/>
      <c r="P115" s="220"/>
      <c r="Q115" s="220"/>
      <c r="R115" s="220"/>
      <c r="S115" s="220"/>
      <c r="T115" s="220"/>
      <c r="U115" s="220"/>
      <c r="V115" s="220"/>
      <c r="W115" s="220"/>
      <c r="X115" s="220"/>
      <c r="Y115" s="220"/>
      <c r="Z115" s="221"/>
    </row>
    <row r="116" ht="15.75" customHeight="1">
      <c r="A116" s="44"/>
      <c r="B116" s="44"/>
      <c r="C116" s="220" t="s">
        <v>484</v>
      </c>
      <c r="D116" s="228" t="s">
        <v>485</v>
      </c>
      <c r="E116" s="228" t="s">
        <v>486</v>
      </c>
      <c r="F116" s="220"/>
      <c r="G116" s="220"/>
      <c r="H116" s="220"/>
      <c r="I116" s="220"/>
      <c r="J116" s="220"/>
      <c r="K116" s="220"/>
      <c r="L116" s="220"/>
      <c r="M116" s="220"/>
      <c r="N116" s="220"/>
      <c r="O116" s="220"/>
      <c r="P116" s="220"/>
      <c r="Q116" s="220"/>
      <c r="R116" s="220"/>
      <c r="S116" s="220"/>
      <c r="T116" s="220"/>
      <c r="U116" s="220"/>
      <c r="V116" s="220"/>
      <c r="W116" s="220"/>
      <c r="X116" s="220"/>
      <c r="Y116" s="220"/>
      <c r="Z116" s="221"/>
    </row>
    <row r="117" ht="15.75" customHeight="1">
      <c r="A117" s="44"/>
      <c r="B117" s="44"/>
      <c r="C117" s="220" t="s">
        <v>487</v>
      </c>
      <c r="D117" s="228" t="s">
        <v>488</v>
      </c>
      <c r="E117" s="228" t="s">
        <v>489</v>
      </c>
      <c r="F117" s="220"/>
      <c r="G117" s="220"/>
      <c r="H117" s="220"/>
      <c r="I117" s="220"/>
      <c r="J117" s="220"/>
      <c r="K117" s="220"/>
      <c r="L117" s="220"/>
      <c r="M117" s="220"/>
      <c r="N117" s="220"/>
      <c r="O117" s="220"/>
      <c r="P117" s="220"/>
      <c r="Q117" s="220"/>
      <c r="R117" s="220"/>
      <c r="S117" s="220"/>
      <c r="T117" s="220"/>
      <c r="U117" s="220"/>
      <c r="V117" s="220"/>
      <c r="W117" s="220"/>
      <c r="X117" s="220"/>
      <c r="Y117" s="220"/>
      <c r="Z117" s="221"/>
    </row>
    <row r="118" ht="15.75" customHeight="1">
      <c r="A118" s="44"/>
      <c r="B118" s="44"/>
      <c r="C118" s="220" t="s">
        <v>490</v>
      </c>
      <c r="D118" s="228" t="s">
        <v>491</v>
      </c>
      <c r="E118" s="228" t="s">
        <v>492</v>
      </c>
      <c r="F118" s="220"/>
      <c r="G118" s="220"/>
      <c r="H118" s="220"/>
      <c r="I118" s="220"/>
      <c r="J118" s="220"/>
      <c r="K118" s="220"/>
      <c r="L118" s="220"/>
      <c r="M118" s="220"/>
      <c r="N118" s="220"/>
      <c r="O118" s="220"/>
      <c r="P118" s="220"/>
      <c r="Q118" s="220"/>
      <c r="R118" s="220"/>
      <c r="S118" s="220"/>
      <c r="T118" s="220"/>
      <c r="U118" s="220"/>
      <c r="V118" s="220"/>
      <c r="W118" s="220"/>
      <c r="X118" s="220"/>
      <c r="Y118" s="220"/>
      <c r="Z118" s="221"/>
    </row>
    <row r="119" ht="15.75" customHeight="1">
      <c r="A119" s="44"/>
      <c r="B119" s="44"/>
      <c r="C119" s="220" t="s">
        <v>493</v>
      </c>
      <c r="D119" s="228" t="s">
        <v>494</v>
      </c>
      <c r="E119" s="228" t="s">
        <v>495</v>
      </c>
      <c r="F119" s="220"/>
      <c r="G119" s="220"/>
      <c r="H119" s="220"/>
      <c r="I119" s="220"/>
      <c r="J119" s="220"/>
      <c r="K119" s="220"/>
      <c r="L119" s="220"/>
      <c r="M119" s="220"/>
      <c r="N119" s="220"/>
      <c r="O119" s="220"/>
      <c r="P119" s="220"/>
      <c r="Q119" s="220"/>
      <c r="R119" s="220"/>
      <c r="S119" s="220"/>
      <c r="T119" s="220"/>
      <c r="U119" s="220"/>
      <c r="V119" s="220"/>
      <c r="W119" s="220"/>
      <c r="X119" s="220"/>
      <c r="Y119" s="220"/>
      <c r="Z119" s="221"/>
    </row>
    <row r="120" ht="15.75" customHeight="1">
      <c r="A120" s="44"/>
      <c r="B120" s="44"/>
      <c r="C120" s="220" t="s">
        <v>149</v>
      </c>
      <c r="D120" s="228" t="s">
        <v>496</v>
      </c>
      <c r="E120" s="228" t="s">
        <v>497</v>
      </c>
      <c r="F120" s="220"/>
      <c r="G120" s="220"/>
      <c r="H120" s="220"/>
      <c r="I120" s="220"/>
      <c r="J120" s="220"/>
      <c r="K120" s="220"/>
      <c r="L120" s="220"/>
      <c r="M120" s="220"/>
      <c r="N120" s="220"/>
      <c r="O120" s="220"/>
      <c r="P120" s="220"/>
      <c r="Q120" s="220"/>
      <c r="R120" s="220"/>
      <c r="S120" s="220"/>
      <c r="T120" s="220"/>
      <c r="U120" s="220"/>
      <c r="V120" s="220"/>
      <c r="W120" s="220"/>
      <c r="X120" s="220"/>
      <c r="Y120" s="220"/>
      <c r="Z120" s="221"/>
    </row>
    <row r="121" ht="15.75" customHeight="1">
      <c r="A121" s="44"/>
      <c r="B121" s="44"/>
      <c r="C121" s="220" t="s">
        <v>242</v>
      </c>
      <c r="D121" s="228" t="s">
        <v>498</v>
      </c>
      <c r="E121" s="228" t="s">
        <v>492</v>
      </c>
      <c r="F121" s="220"/>
      <c r="G121" s="220"/>
      <c r="H121" s="220"/>
      <c r="I121" s="220"/>
      <c r="J121" s="220"/>
      <c r="K121" s="220"/>
      <c r="L121" s="220"/>
      <c r="M121" s="220"/>
      <c r="N121" s="220"/>
      <c r="O121" s="220"/>
      <c r="P121" s="220"/>
      <c r="Q121" s="220"/>
      <c r="R121" s="220"/>
      <c r="S121" s="220"/>
      <c r="T121" s="220"/>
      <c r="U121" s="220"/>
      <c r="V121" s="220"/>
      <c r="W121" s="220"/>
      <c r="X121" s="220"/>
      <c r="Y121" s="220"/>
      <c r="Z121" s="221"/>
    </row>
    <row r="122" ht="15.75" customHeight="1">
      <c r="A122" s="44"/>
      <c r="B122" s="44"/>
      <c r="C122" s="220" t="s">
        <v>499</v>
      </c>
      <c r="D122" s="228" t="s">
        <v>328</v>
      </c>
      <c r="E122" s="228" t="s">
        <v>500</v>
      </c>
      <c r="F122" s="220"/>
      <c r="G122" s="220"/>
      <c r="H122" s="220"/>
      <c r="I122" s="220"/>
      <c r="J122" s="220"/>
      <c r="K122" s="220"/>
      <c r="L122" s="220"/>
      <c r="M122" s="220"/>
      <c r="N122" s="220"/>
      <c r="O122" s="220"/>
      <c r="P122" s="220"/>
      <c r="Q122" s="220"/>
      <c r="R122" s="220"/>
      <c r="S122" s="220"/>
      <c r="T122" s="220"/>
      <c r="U122" s="220"/>
      <c r="V122" s="220"/>
      <c r="W122" s="220"/>
      <c r="X122" s="220"/>
      <c r="Y122" s="220"/>
      <c r="Z122" s="221"/>
    </row>
    <row r="123" ht="15.75" customHeight="1">
      <c r="A123" s="44"/>
      <c r="B123" s="44"/>
      <c r="C123" s="220" t="s">
        <v>501</v>
      </c>
      <c r="D123" s="228" t="s">
        <v>502</v>
      </c>
      <c r="E123" s="228" t="s">
        <v>474</v>
      </c>
      <c r="F123" s="220"/>
      <c r="G123" s="220"/>
      <c r="H123" s="220"/>
      <c r="I123" s="220"/>
      <c r="J123" s="220"/>
      <c r="K123" s="220"/>
      <c r="L123" s="220"/>
      <c r="M123" s="220"/>
      <c r="N123" s="220"/>
      <c r="O123" s="220"/>
      <c r="P123" s="220"/>
      <c r="Q123" s="220"/>
      <c r="R123" s="220"/>
      <c r="S123" s="220"/>
      <c r="T123" s="220"/>
      <c r="U123" s="220"/>
      <c r="V123" s="220"/>
      <c r="W123" s="220"/>
      <c r="X123" s="220"/>
      <c r="Y123" s="220"/>
      <c r="Z123" s="221"/>
    </row>
    <row r="124" ht="15.75" customHeight="1">
      <c r="A124" s="44"/>
      <c r="B124" s="44"/>
      <c r="C124" s="220" t="s">
        <v>503</v>
      </c>
      <c r="D124" s="228" t="s">
        <v>263</v>
      </c>
      <c r="E124" s="228" t="s">
        <v>504</v>
      </c>
      <c r="F124" s="220"/>
      <c r="G124" s="220"/>
      <c r="H124" s="220"/>
      <c r="I124" s="220"/>
      <c r="J124" s="220"/>
      <c r="K124" s="220"/>
      <c r="L124" s="220"/>
      <c r="M124" s="220"/>
      <c r="N124" s="220"/>
      <c r="O124" s="220"/>
      <c r="P124" s="220"/>
      <c r="Q124" s="220"/>
      <c r="R124" s="220"/>
      <c r="S124" s="220"/>
      <c r="T124" s="220"/>
      <c r="U124" s="220"/>
      <c r="V124" s="220"/>
      <c r="W124" s="220"/>
      <c r="X124" s="220"/>
      <c r="Y124" s="220"/>
      <c r="Z124" s="221"/>
    </row>
    <row r="125" ht="15.75" customHeight="1">
      <c r="A125" s="44"/>
      <c r="B125" s="44"/>
      <c r="C125" s="220" t="s">
        <v>505</v>
      </c>
      <c r="D125" s="228" t="s">
        <v>506</v>
      </c>
      <c r="E125" s="228" t="s">
        <v>474</v>
      </c>
      <c r="F125" s="220"/>
      <c r="G125" s="220"/>
      <c r="H125" s="220"/>
      <c r="I125" s="220"/>
      <c r="J125" s="220"/>
      <c r="K125" s="220"/>
      <c r="L125" s="220"/>
      <c r="M125" s="220"/>
      <c r="N125" s="220"/>
      <c r="O125" s="220"/>
      <c r="P125" s="220"/>
      <c r="Q125" s="220"/>
      <c r="R125" s="220"/>
      <c r="S125" s="220"/>
      <c r="T125" s="220"/>
      <c r="U125" s="220"/>
      <c r="V125" s="220"/>
      <c r="W125" s="220"/>
      <c r="X125" s="220"/>
      <c r="Y125" s="220"/>
      <c r="Z125" s="221"/>
    </row>
    <row r="126" ht="15.75" customHeight="1">
      <c r="A126" s="44"/>
      <c r="B126" s="44"/>
      <c r="C126" s="220" t="s">
        <v>507</v>
      </c>
      <c r="D126" s="228" t="s">
        <v>508</v>
      </c>
      <c r="E126" s="228" t="s">
        <v>474</v>
      </c>
      <c r="F126" s="220"/>
      <c r="G126" s="220"/>
      <c r="H126" s="220"/>
      <c r="I126" s="220"/>
      <c r="J126" s="220"/>
      <c r="K126" s="220"/>
      <c r="L126" s="220"/>
      <c r="M126" s="220"/>
      <c r="N126" s="220"/>
      <c r="O126" s="220"/>
      <c r="P126" s="220"/>
      <c r="Q126" s="220"/>
      <c r="R126" s="220"/>
      <c r="S126" s="220"/>
      <c r="T126" s="220"/>
      <c r="U126" s="220"/>
      <c r="V126" s="220"/>
      <c r="W126" s="220"/>
      <c r="X126" s="220"/>
      <c r="Y126" s="220"/>
      <c r="Z126" s="221"/>
    </row>
    <row r="127" ht="15.75" customHeight="1">
      <c r="A127" s="44"/>
      <c r="B127" s="44"/>
      <c r="C127" s="220" t="s">
        <v>509</v>
      </c>
      <c r="D127" s="228" t="s">
        <v>510</v>
      </c>
      <c r="E127" s="228" t="s">
        <v>511</v>
      </c>
      <c r="F127" s="220"/>
      <c r="G127" s="220"/>
      <c r="H127" s="220"/>
      <c r="I127" s="220"/>
      <c r="J127" s="220"/>
      <c r="K127" s="220"/>
      <c r="L127" s="220"/>
      <c r="M127" s="220"/>
      <c r="N127" s="220"/>
      <c r="O127" s="220"/>
      <c r="P127" s="220"/>
      <c r="Q127" s="220"/>
      <c r="R127" s="220"/>
      <c r="S127" s="220"/>
      <c r="T127" s="220"/>
      <c r="U127" s="220"/>
      <c r="V127" s="220"/>
      <c r="W127" s="220"/>
      <c r="X127" s="220"/>
      <c r="Y127" s="220"/>
      <c r="Z127" s="221"/>
    </row>
    <row r="128" ht="15.75" customHeight="1">
      <c r="A128" s="44"/>
      <c r="B128" s="44"/>
      <c r="C128" s="220" t="s">
        <v>512</v>
      </c>
      <c r="D128" s="228" t="s">
        <v>513</v>
      </c>
      <c r="E128" s="228" t="s">
        <v>492</v>
      </c>
      <c r="F128" s="220"/>
      <c r="G128" s="220"/>
      <c r="H128" s="220"/>
      <c r="I128" s="220"/>
      <c r="J128" s="220"/>
      <c r="K128" s="220"/>
      <c r="L128" s="220"/>
      <c r="M128" s="220"/>
      <c r="N128" s="220"/>
      <c r="O128" s="220"/>
      <c r="P128" s="220"/>
      <c r="Q128" s="220"/>
      <c r="R128" s="220"/>
      <c r="S128" s="220"/>
      <c r="T128" s="220"/>
      <c r="U128" s="220"/>
      <c r="V128" s="220"/>
      <c r="W128" s="220"/>
      <c r="X128" s="220"/>
      <c r="Y128" s="220"/>
      <c r="Z128" s="221"/>
    </row>
    <row r="129" ht="15.75" customHeight="1">
      <c r="A129" s="44"/>
      <c r="B129" s="44"/>
      <c r="C129" s="220" t="s">
        <v>197</v>
      </c>
      <c r="D129" s="228" t="s">
        <v>198</v>
      </c>
      <c r="E129" s="228" t="s">
        <v>199</v>
      </c>
      <c r="F129" s="220"/>
      <c r="G129" s="220"/>
      <c r="H129" s="220"/>
      <c r="I129" s="220"/>
      <c r="J129" s="220"/>
      <c r="K129" s="220"/>
      <c r="L129" s="220"/>
      <c r="M129" s="220"/>
      <c r="N129" s="220"/>
      <c r="O129" s="220"/>
      <c r="P129" s="220"/>
      <c r="Q129" s="220"/>
      <c r="R129" s="220"/>
      <c r="S129" s="220"/>
      <c r="T129" s="220"/>
      <c r="U129" s="220"/>
      <c r="V129" s="220"/>
      <c r="W129" s="220"/>
      <c r="X129" s="220"/>
      <c r="Y129" s="220"/>
      <c r="Z129" s="221"/>
    </row>
    <row r="130" ht="15.75" customHeight="1">
      <c r="A130" s="44"/>
      <c r="B130" s="44"/>
      <c r="C130" s="220" t="s">
        <v>514</v>
      </c>
      <c r="D130" s="228" t="s">
        <v>515</v>
      </c>
      <c r="E130" s="228" t="s">
        <v>480</v>
      </c>
      <c r="F130" s="220"/>
      <c r="G130" s="220"/>
      <c r="H130" s="220"/>
      <c r="I130" s="220"/>
      <c r="J130" s="220"/>
      <c r="K130" s="220"/>
      <c r="L130" s="220"/>
      <c r="M130" s="220"/>
      <c r="N130" s="220"/>
      <c r="O130" s="220"/>
      <c r="P130" s="220"/>
      <c r="Q130" s="220"/>
      <c r="R130" s="220"/>
      <c r="S130" s="220"/>
      <c r="T130" s="220"/>
      <c r="U130" s="220"/>
      <c r="V130" s="220"/>
      <c r="W130" s="220"/>
      <c r="X130" s="220"/>
      <c r="Y130" s="220"/>
      <c r="Z130" s="221"/>
    </row>
    <row r="131" ht="15.75" customHeight="1">
      <c r="A131" s="44"/>
      <c r="B131" s="44"/>
      <c r="C131" s="220" t="s">
        <v>186</v>
      </c>
      <c r="D131" s="228" t="s">
        <v>516</v>
      </c>
      <c r="E131" s="228" t="s">
        <v>517</v>
      </c>
      <c r="F131" s="220"/>
      <c r="G131" s="220"/>
      <c r="H131" s="220"/>
      <c r="I131" s="220"/>
      <c r="J131" s="220"/>
      <c r="K131" s="220"/>
      <c r="L131" s="220"/>
      <c r="M131" s="220"/>
      <c r="N131" s="220"/>
      <c r="O131" s="220"/>
      <c r="P131" s="220"/>
      <c r="Q131" s="220"/>
      <c r="R131" s="220"/>
      <c r="S131" s="220"/>
      <c r="T131" s="220"/>
      <c r="U131" s="220"/>
      <c r="V131" s="220"/>
      <c r="W131" s="220"/>
      <c r="X131" s="220"/>
      <c r="Y131" s="220"/>
      <c r="Z131" s="221"/>
    </row>
    <row r="132" ht="15.75" customHeight="1">
      <c r="A132" s="44"/>
      <c r="B132" s="44"/>
      <c r="C132" s="220" t="s">
        <v>518</v>
      </c>
      <c r="D132" s="228" t="s">
        <v>519</v>
      </c>
      <c r="E132" s="228" t="s">
        <v>520</v>
      </c>
      <c r="F132" s="220"/>
      <c r="G132" s="220"/>
      <c r="H132" s="220"/>
      <c r="I132" s="220"/>
      <c r="J132" s="220"/>
      <c r="K132" s="220"/>
      <c r="L132" s="220"/>
      <c r="M132" s="220"/>
      <c r="N132" s="220"/>
      <c r="O132" s="220"/>
      <c r="P132" s="220"/>
      <c r="Q132" s="220"/>
      <c r="R132" s="220"/>
      <c r="S132" s="220"/>
      <c r="T132" s="220"/>
      <c r="U132" s="220"/>
      <c r="V132" s="220"/>
      <c r="W132" s="220"/>
      <c r="X132" s="220"/>
      <c r="Y132" s="220"/>
      <c r="Z132" s="221"/>
    </row>
    <row r="133" ht="15.75" customHeight="1">
      <c r="A133" s="44"/>
      <c r="B133" s="44"/>
      <c r="C133" s="220" t="s">
        <v>521</v>
      </c>
      <c r="D133" s="228" t="s">
        <v>522</v>
      </c>
      <c r="E133" s="228" t="s">
        <v>517</v>
      </c>
      <c r="F133" s="220"/>
      <c r="G133" s="220"/>
      <c r="H133" s="220"/>
      <c r="I133" s="220"/>
      <c r="J133" s="220"/>
      <c r="K133" s="220"/>
      <c r="L133" s="220"/>
      <c r="M133" s="220"/>
      <c r="N133" s="220"/>
      <c r="O133" s="220"/>
      <c r="P133" s="220"/>
      <c r="Q133" s="220"/>
      <c r="R133" s="220"/>
      <c r="S133" s="220"/>
      <c r="T133" s="220"/>
      <c r="U133" s="220"/>
      <c r="V133" s="220"/>
      <c r="W133" s="220"/>
      <c r="X133" s="220"/>
      <c r="Y133" s="220"/>
      <c r="Z133" s="221"/>
    </row>
    <row r="134" ht="15.75" customHeight="1">
      <c r="A134" s="44"/>
      <c r="B134" s="44"/>
      <c r="C134" s="220" t="s">
        <v>523</v>
      </c>
      <c r="D134" s="228" t="s">
        <v>524</v>
      </c>
      <c r="E134" s="228" t="s">
        <v>480</v>
      </c>
      <c r="F134" s="220"/>
      <c r="G134" s="220"/>
      <c r="H134" s="220"/>
      <c r="I134" s="220"/>
      <c r="J134" s="220"/>
      <c r="K134" s="220"/>
      <c r="L134" s="220"/>
      <c r="M134" s="220"/>
      <c r="N134" s="220"/>
      <c r="O134" s="220"/>
      <c r="P134" s="220"/>
      <c r="Q134" s="220"/>
      <c r="R134" s="220"/>
      <c r="S134" s="220"/>
      <c r="T134" s="220"/>
      <c r="U134" s="220"/>
      <c r="V134" s="220"/>
      <c r="W134" s="220"/>
      <c r="X134" s="220"/>
      <c r="Y134" s="220"/>
      <c r="Z134" s="221"/>
    </row>
    <row r="135" ht="15.75" customHeight="1">
      <c r="A135" s="44"/>
      <c r="B135" s="44"/>
      <c r="C135" s="220" t="s">
        <v>525</v>
      </c>
      <c r="D135" s="228" t="s">
        <v>526</v>
      </c>
      <c r="E135" s="228" t="s">
        <v>486</v>
      </c>
      <c r="F135" s="220"/>
      <c r="G135" s="220"/>
      <c r="H135" s="220"/>
      <c r="I135" s="220"/>
      <c r="J135" s="220"/>
      <c r="K135" s="220"/>
      <c r="L135" s="220"/>
      <c r="M135" s="220"/>
      <c r="N135" s="220"/>
      <c r="O135" s="220"/>
      <c r="P135" s="220"/>
      <c r="Q135" s="220"/>
      <c r="R135" s="220"/>
      <c r="S135" s="220"/>
      <c r="T135" s="220"/>
      <c r="U135" s="220"/>
      <c r="V135" s="220"/>
      <c r="W135" s="220"/>
      <c r="X135" s="220"/>
      <c r="Y135" s="220"/>
      <c r="Z135" s="221"/>
    </row>
    <row r="136" ht="15.75" customHeight="1">
      <c r="A136" s="44"/>
      <c r="B136" s="44"/>
      <c r="C136" s="220" t="s">
        <v>527</v>
      </c>
      <c r="D136" s="228" t="s">
        <v>528</v>
      </c>
      <c r="E136" s="228" t="s">
        <v>529</v>
      </c>
      <c r="F136" s="220"/>
      <c r="G136" s="220"/>
      <c r="H136" s="220"/>
      <c r="I136" s="220"/>
      <c r="J136" s="220"/>
      <c r="K136" s="220"/>
      <c r="L136" s="220"/>
      <c r="M136" s="220"/>
      <c r="N136" s="220"/>
      <c r="O136" s="220"/>
      <c r="P136" s="220"/>
      <c r="Q136" s="220"/>
      <c r="R136" s="220"/>
      <c r="S136" s="220"/>
      <c r="T136" s="220"/>
      <c r="U136" s="220"/>
      <c r="V136" s="220"/>
      <c r="W136" s="220"/>
      <c r="X136" s="220"/>
      <c r="Y136" s="220"/>
      <c r="Z136" s="221"/>
    </row>
    <row r="137" ht="15.75" customHeight="1">
      <c r="A137" s="44"/>
      <c r="B137" s="44"/>
      <c r="C137" s="220" t="s">
        <v>530</v>
      </c>
      <c r="D137" s="228" t="s">
        <v>531</v>
      </c>
      <c r="E137" s="228" t="s">
        <v>480</v>
      </c>
      <c r="F137" s="220"/>
      <c r="G137" s="220"/>
      <c r="H137" s="220"/>
      <c r="I137" s="220"/>
      <c r="J137" s="220"/>
      <c r="K137" s="220"/>
      <c r="L137" s="220"/>
      <c r="M137" s="220"/>
      <c r="N137" s="220"/>
      <c r="O137" s="220"/>
      <c r="P137" s="220"/>
      <c r="Q137" s="220"/>
      <c r="R137" s="220"/>
      <c r="S137" s="220"/>
      <c r="T137" s="220"/>
      <c r="U137" s="220"/>
      <c r="V137" s="220"/>
      <c r="W137" s="220"/>
      <c r="X137" s="220"/>
      <c r="Y137" s="220"/>
      <c r="Z137" s="221"/>
    </row>
    <row r="138" ht="15.75" customHeight="1">
      <c r="A138" s="68"/>
      <c r="B138" s="68"/>
      <c r="C138" s="220" t="s">
        <v>532</v>
      </c>
      <c r="D138" s="228" t="s">
        <v>533</v>
      </c>
      <c r="E138" s="228" t="s">
        <v>520</v>
      </c>
      <c r="F138" s="220"/>
      <c r="G138" s="220"/>
      <c r="H138" s="220"/>
      <c r="I138" s="220"/>
      <c r="J138" s="220"/>
      <c r="K138" s="220"/>
      <c r="L138" s="220"/>
      <c r="M138" s="220"/>
      <c r="N138" s="220"/>
      <c r="O138" s="220"/>
      <c r="P138" s="220"/>
      <c r="Q138" s="220"/>
      <c r="R138" s="220"/>
      <c r="S138" s="220"/>
      <c r="T138" s="220"/>
      <c r="U138" s="220"/>
      <c r="V138" s="220"/>
      <c r="W138" s="220"/>
      <c r="X138" s="220"/>
      <c r="Y138" s="220"/>
      <c r="Z138" s="221"/>
    </row>
    <row r="139" ht="15.75" customHeight="1">
      <c r="A139" s="237">
        <v>39437.0</v>
      </c>
      <c r="B139" s="238" t="s">
        <v>534</v>
      </c>
      <c r="C139" s="214" t="s">
        <v>535</v>
      </c>
      <c r="D139" s="214" t="s">
        <v>536</v>
      </c>
      <c r="E139" s="214" t="s">
        <v>537</v>
      </c>
      <c r="F139" s="214"/>
      <c r="G139" s="214"/>
      <c r="H139" s="214"/>
      <c r="I139" s="214"/>
      <c r="J139" s="214"/>
      <c r="K139" s="214"/>
      <c r="L139" s="214"/>
      <c r="M139" s="214"/>
      <c r="N139" s="214"/>
      <c r="O139" s="214"/>
      <c r="P139" s="214"/>
      <c r="Q139" s="214"/>
      <c r="R139" s="214"/>
      <c r="S139" s="214"/>
      <c r="T139" s="214"/>
      <c r="U139" s="214"/>
      <c r="V139" s="214"/>
      <c r="W139" s="214"/>
      <c r="X139" s="214"/>
      <c r="Y139" s="214"/>
      <c r="Z139" s="201"/>
    </row>
    <row r="140" ht="15.75" customHeight="1">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01"/>
    </row>
    <row r="141" ht="15.75" customHeight="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01"/>
    </row>
    <row r="142" ht="15.75" customHeight="1">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01"/>
    </row>
    <row r="143" ht="15.75" customHeight="1">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01"/>
    </row>
    <row r="144" ht="15.75" customHeight="1">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01"/>
    </row>
    <row r="145" ht="15.75" customHeight="1">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01"/>
    </row>
    <row r="146" ht="15.75" customHeight="1">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01"/>
    </row>
    <row r="147" ht="15.75" customHeight="1">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01"/>
    </row>
    <row r="148" ht="15.75" customHeight="1">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01"/>
    </row>
    <row r="149" ht="15.75" customHeight="1">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01"/>
    </row>
    <row r="150" ht="15.75" customHeight="1">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01"/>
    </row>
    <row r="151" ht="15.75" customHeight="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01"/>
    </row>
    <row r="152" ht="15.75" customHeight="1">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01"/>
    </row>
    <row r="153" ht="15.75" customHeight="1">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01"/>
    </row>
    <row r="154" ht="15.75" customHeight="1">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01"/>
    </row>
    <row r="155" ht="15.75" customHeight="1">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01"/>
    </row>
    <row r="156" ht="15.75" customHeight="1">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01"/>
    </row>
    <row r="157" ht="15.75" customHeight="1">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01"/>
    </row>
    <row r="158" ht="15.75" customHeight="1">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01"/>
    </row>
    <row r="159" ht="15.75" customHeight="1">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01"/>
    </row>
    <row r="160" ht="15.75" customHeight="1">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01"/>
    </row>
    <row r="161" ht="15.75" customHeight="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01"/>
    </row>
    <row r="162" ht="15.75" customHeight="1">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01"/>
    </row>
    <row r="163" ht="15.75" customHeight="1">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01"/>
    </row>
    <row r="164" ht="15.75" customHeight="1">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01"/>
    </row>
    <row r="165" ht="15.75" customHeight="1">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01"/>
    </row>
    <row r="166" ht="15.75" customHeight="1">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01"/>
    </row>
    <row r="167" ht="15.75" customHeight="1">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01"/>
    </row>
    <row r="168" ht="15.75" customHeight="1">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01"/>
    </row>
    <row r="169" ht="15.75" customHeight="1">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01"/>
    </row>
    <row r="170" ht="15.75" customHeight="1">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01"/>
    </row>
    <row r="171" ht="15.75" customHeight="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01"/>
    </row>
    <row r="172" ht="15.75" customHeight="1">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01"/>
    </row>
    <row r="173" ht="15.75" customHeight="1">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01"/>
    </row>
    <row r="174" ht="15.75" customHeight="1">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01"/>
    </row>
    <row r="175" ht="15.75" customHeight="1">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01"/>
    </row>
    <row r="176" ht="15.75" customHeight="1">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01"/>
    </row>
    <row r="177" ht="15.75" customHeight="1">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01"/>
    </row>
    <row r="178" ht="15.75" customHeight="1">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01"/>
    </row>
    <row r="179" ht="15.75" customHeight="1">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01"/>
    </row>
    <row r="180" ht="15.75" customHeight="1">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01"/>
    </row>
    <row r="181" ht="15.75" customHeight="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01"/>
    </row>
    <row r="182" ht="15.75" customHeight="1">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01"/>
    </row>
    <row r="183" ht="15.75" customHeight="1">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01"/>
    </row>
    <row r="184" ht="15.75" customHeight="1">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01"/>
    </row>
    <row r="185" ht="15.75" customHeight="1">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01"/>
    </row>
    <row r="186" ht="15.75" customHeight="1">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01"/>
    </row>
    <row r="187" ht="15.75" customHeight="1">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01"/>
    </row>
    <row r="188" ht="15.75" customHeight="1">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01"/>
    </row>
    <row r="189" ht="15.75" customHeight="1">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01"/>
    </row>
    <row r="190" ht="15.75" customHeight="1">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01"/>
    </row>
    <row r="191" ht="15.75" customHeight="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01"/>
    </row>
    <row r="192" ht="15.7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01"/>
    </row>
    <row r="193" ht="15.7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01"/>
    </row>
    <row r="194" ht="15.7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01"/>
    </row>
    <row r="195" ht="15.7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01"/>
    </row>
    <row r="196" ht="15.7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01"/>
    </row>
    <row r="197" ht="15.7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01"/>
    </row>
    <row r="198" ht="15.7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01"/>
    </row>
    <row r="199" ht="15.7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01"/>
    </row>
    <row r="200" ht="15.7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01"/>
    </row>
    <row r="201" ht="15.7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01"/>
    </row>
    <row r="202" ht="15.7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01"/>
    </row>
    <row r="203" ht="15.7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01"/>
    </row>
    <row r="204" ht="15.7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01"/>
    </row>
    <row r="205" ht="15.7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01"/>
    </row>
    <row r="206" ht="15.7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01"/>
    </row>
    <row r="207" ht="15.7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01"/>
    </row>
    <row r="208" ht="15.7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01"/>
    </row>
    <row r="209" ht="15.7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01"/>
    </row>
    <row r="210" ht="15.7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01"/>
    </row>
    <row r="211" ht="15.7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01"/>
    </row>
    <row r="212" ht="15.7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01"/>
    </row>
    <row r="213" ht="15.7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01"/>
    </row>
    <row r="214" ht="15.7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01"/>
    </row>
    <row r="215" ht="15.7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01"/>
    </row>
    <row r="216" ht="15.7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01"/>
    </row>
    <row r="217" ht="15.7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01"/>
    </row>
    <row r="218" ht="15.7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01"/>
    </row>
    <row r="219" ht="15.7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01"/>
    </row>
    <row r="220" ht="15.7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01"/>
    </row>
    <row r="221" ht="15.7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01"/>
    </row>
    <row r="222" ht="15.7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01"/>
    </row>
    <row r="223" ht="15.7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01"/>
    </row>
    <row r="224" ht="15.7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01"/>
    </row>
    <row r="225" ht="15.7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01"/>
    </row>
    <row r="226" ht="15.7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01"/>
    </row>
    <row r="227" ht="15.7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01"/>
    </row>
    <row r="228" ht="15.7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01"/>
    </row>
    <row r="229" ht="15.7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01"/>
    </row>
    <row r="230" ht="15.7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01"/>
    </row>
    <row r="231" ht="15.7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01"/>
    </row>
    <row r="232" ht="15.7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01"/>
    </row>
    <row r="233" ht="15.7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01"/>
    </row>
    <row r="234" ht="15.7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01"/>
    </row>
    <row r="235"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01"/>
    </row>
    <row r="236"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01"/>
    </row>
    <row r="237"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01"/>
    </row>
    <row r="238"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01"/>
    </row>
    <row r="239"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01"/>
    </row>
    <row r="240"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01"/>
    </row>
    <row r="241" ht="15.7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01"/>
    </row>
    <row r="242" ht="15.7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01"/>
    </row>
    <row r="243" ht="15.7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01"/>
    </row>
    <row r="244" ht="15.7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01"/>
    </row>
    <row r="245" ht="15.7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01"/>
    </row>
    <row r="246" ht="15.7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01"/>
    </row>
    <row r="247" ht="15.7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01"/>
    </row>
    <row r="248" ht="15.7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01"/>
    </row>
    <row r="249" ht="15.7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01"/>
    </row>
    <row r="250" ht="15.7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01"/>
    </row>
    <row r="251" ht="15.7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01"/>
    </row>
    <row r="252" ht="15.7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01"/>
    </row>
    <row r="253" ht="15.7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01"/>
    </row>
    <row r="254" ht="15.7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01"/>
    </row>
    <row r="255" ht="15.7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01"/>
    </row>
    <row r="256" ht="15.7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01"/>
    </row>
    <row r="257" ht="15.7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01"/>
    </row>
    <row r="258" ht="15.7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01"/>
    </row>
    <row r="259" ht="15.7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01"/>
    </row>
    <row r="260" ht="15.7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01"/>
    </row>
    <row r="261" ht="15.7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01"/>
    </row>
    <row r="262" ht="15.7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01"/>
    </row>
    <row r="263" ht="15.7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01"/>
    </row>
    <row r="26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01"/>
    </row>
    <row r="265"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01"/>
    </row>
    <row r="266"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01"/>
    </row>
    <row r="267"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01"/>
    </row>
    <row r="268"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01"/>
    </row>
    <row r="269"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01"/>
    </row>
    <row r="270"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01"/>
    </row>
    <row r="271"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01"/>
    </row>
    <row r="272"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01"/>
    </row>
    <row r="273"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01"/>
    </row>
    <row r="27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01"/>
    </row>
    <row r="275"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01"/>
    </row>
    <row r="276"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01"/>
    </row>
    <row r="277"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01"/>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01"/>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01"/>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01"/>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01"/>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01"/>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01"/>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01"/>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01"/>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01"/>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01"/>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01"/>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01"/>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01"/>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01"/>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01"/>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01"/>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01"/>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01"/>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01"/>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01"/>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01"/>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01"/>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01"/>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01"/>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01"/>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01"/>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01"/>
    </row>
    <row r="305" ht="15.7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01"/>
    </row>
    <row r="306" ht="15.7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01"/>
    </row>
    <row r="307" ht="15.7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01"/>
    </row>
    <row r="308" ht="15.7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01"/>
    </row>
    <row r="309" ht="15.7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01"/>
    </row>
    <row r="310" ht="15.7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01"/>
    </row>
    <row r="311" ht="15.7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01"/>
    </row>
    <row r="312" ht="15.7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01"/>
    </row>
    <row r="313" ht="15.7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01"/>
    </row>
    <row r="314" ht="15.7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01"/>
    </row>
    <row r="315" ht="15.7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01"/>
    </row>
    <row r="316" ht="15.7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01"/>
    </row>
    <row r="317" ht="15.7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01"/>
    </row>
    <row r="318" ht="15.7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01"/>
    </row>
    <row r="319" ht="15.7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01"/>
    </row>
    <row r="320" ht="15.7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01"/>
    </row>
    <row r="321" ht="15.7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01"/>
    </row>
    <row r="322" ht="15.7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01"/>
    </row>
    <row r="323" ht="15.7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01"/>
    </row>
    <row r="324"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01"/>
    </row>
    <row r="325"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01"/>
    </row>
    <row r="326"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01"/>
    </row>
    <row r="327"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01"/>
    </row>
    <row r="328"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01"/>
    </row>
    <row r="329"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01"/>
    </row>
    <row r="330"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01"/>
    </row>
    <row r="331"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01"/>
    </row>
    <row r="332" ht="15.7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01"/>
    </row>
    <row r="333" ht="15.7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01"/>
    </row>
    <row r="334" ht="15.7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01"/>
    </row>
    <row r="335" ht="15.7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01"/>
    </row>
    <row r="336" ht="15.7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01"/>
    </row>
    <row r="337" ht="15.7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01"/>
    </row>
    <row r="338" ht="15.7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01"/>
    </row>
    <row r="339" ht="15.7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01"/>
    </row>
    <row r="340" ht="15.75" customHeight="1">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row>
    <row r="341" ht="15.75" customHeight="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row>
    <row r="342" ht="15.75" customHeight="1">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row>
    <row r="343" ht="15.75" customHeight="1">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row>
    <row r="344" ht="15.75" customHeight="1">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row>
    <row r="345" ht="15.75" customHeight="1">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row>
    <row r="346" ht="15.75" customHeight="1">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row>
    <row r="347" ht="15.75" customHeight="1">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row>
    <row r="348" ht="15.75" customHeight="1">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row>
    <row r="349" ht="15.75" customHeight="1">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row>
    <row r="350" ht="15.75" customHeight="1">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row>
    <row r="351" ht="15.75" customHeight="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row>
    <row r="352" ht="15.75" customHeight="1">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row>
    <row r="353" ht="15.75" customHeight="1">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row>
    <row r="354" ht="15.75" customHeight="1">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row>
    <row r="355" ht="15.75" customHeight="1">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row>
    <row r="356" ht="15.75" customHeight="1">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row>
    <row r="357" ht="15.75" customHeight="1">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row>
    <row r="358" ht="15.75" customHeight="1">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row>
    <row r="359" ht="15.75" customHeight="1">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row>
    <row r="360" ht="15.75" customHeight="1">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row>
    <row r="361" ht="15.75" customHeight="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row>
    <row r="362" ht="15.75" customHeight="1">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row>
    <row r="363" ht="15.75" customHeight="1">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row>
    <row r="364" ht="15.75" customHeight="1">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row>
    <row r="365" ht="15.75" customHeight="1">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row>
    <row r="366" ht="15.75" customHeight="1">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row>
    <row r="367" ht="15.75" customHeight="1">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row>
    <row r="368" ht="15.75" customHeight="1">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row>
    <row r="369" ht="15.75" customHeight="1">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row>
    <row r="370" ht="15.75" customHeight="1">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row>
    <row r="371" ht="15.75" customHeight="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row>
    <row r="372" ht="15.75" customHeight="1">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row>
    <row r="373" ht="15.75" customHeight="1">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row>
    <row r="374" ht="15.75" customHeight="1">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row>
    <row r="375" ht="15.75" customHeight="1">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row>
    <row r="376" ht="15.75" customHeight="1">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row>
    <row r="377" ht="15.75" customHeight="1">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row>
    <row r="378" ht="15.75" customHeight="1">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row>
    <row r="379" ht="15.75" customHeight="1">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row>
    <row r="380" ht="15.75" customHeight="1">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row>
    <row r="381" ht="15.75" customHeight="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row>
    <row r="382" ht="15.75" customHeight="1">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row>
    <row r="383" ht="15.75" customHeight="1">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row>
    <row r="384" ht="15.75" customHeight="1">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row>
    <row r="385" ht="15.75" customHeight="1">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row>
    <row r="386" ht="15.75" customHeight="1">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row>
    <row r="387" ht="15.75" customHeight="1">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row>
    <row r="388" ht="15.75" customHeight="1">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row>
    <row r="389" ht="15.75" customHeight="1">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row>
    <row r="390" ht="15.75" customHeight="1">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row>
    <row r="391" ht="15.75" customHeight="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row>
    <row r="392" ht="15.75" customHeight="1">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row>
    <row r="393" ht="15.75" customHeight="1">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row>
    <row r="394" ht="15.75" customHeight="1">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row>
    <row r="395" ht="15.75" customHeight="1">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row>
    <row r="396" ht="15.75" customHeight="1">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row>
    <row r="397" ht="15.75" customHeight="1">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row>
    <row r="398" ht="15.75" customHeight="1">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row>
    <row r="399" ht="15.75" customHeight="1">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row>
    <row r="400" ht="15.75" customHeight="1">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row>
    <row r="401" ht="15.75" customHeight="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row>
    <row r="402" ht="15.75" customHeight="1">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row>
    <row r="403" ht="15.75" customHeight="1">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row>
    <row r="404" ht="15.75" customHeight="1">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row>
    <row r="405" ht="15.75" customHeight="1">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row>
    <row r="406" ht="15.75" customHeight="1">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row>
    <row r="407" ht="15.75" customHeight="1">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row>
    <row r="408" ht="15.75" customHeight="1">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row>
    <row r="409" ht="15.75" customHeight="1">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row>
    <row r="410" ht="15.75" customHeight="1">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row>
    <row r="411" ht="15.75" customHeight="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row>
    <row r="412" ht="15.75" customHeight="1">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row>
    <row r="413" ht="15.75" customHeight="1">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row>
    <row r="414" ht="15.75" customHeight="1">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row>
    <row r="415" ht="15.75" customHeight="1">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row>
    <row r="416" ht="15.75" customHeight="1">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row>
    <row r="417" ht="15.75" customHeight="1">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row>
    <row r="418" ht="15.75" customHeight="1">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row>
    <row r="419" ht="15.75" customHeight="1">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row>
    <row r="420" ht="15.75" customHeight="1">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row>
    <row r="421" ht="15.75" customHeight="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row>
    <row r="422" ht="15.75" customHeight="1">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row>
    <row r="423" ht="15.75" customHeight="1">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row>
    <row r="424" ht="15.75" customHeight="1">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row>
    <row r="425" ht="15.75" customHeight="1">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row>
    <row r="426" ht="15.75" customHeight="1">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row>
    <row r="427" ht="15.75" customHeight="1">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row>
    <row r="428" ht="15.75" customHeight="1">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row>
    <row r="429" ht="15.75" customHeight="1">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row>
    <row r="430" ht="15.75" customHeight="1">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row>
    <row r="431" ht="15.75" customHeight="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row>
    <row r="432" ht="15.75" customHeight="1">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row>
    <row r="433" ht="15.75" customHeight="1">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row>
    <row r="434" ht="15.75" customHeight="1">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row>
    <row r="435" ht="15.75" customHeight="1">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row>
    <row r="436" ht="15.75" customHeight="1">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row>
    <row r="437" ht="15.75" customHeight="1">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row>
    <row r="438" ht="15.75" customHeight="1">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row>
    <row r="439" ht="15.75" customHeight="1">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row>
    <row r="440" ht="15.75" customHeight="1">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row>
    <row r="441" ht="15.75" customHeight="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row>
    <row r="442" ht="15.75" customHeight="1">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row>
    <row r="443" ht="15.75" customHeight="1">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row>
    <row r="444" ht="15.75" customHeight="1">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row>
    <row r="445" ht="15.75" customHeight="1">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row>
    <row r="446" ht="15.75" customHeight="1">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row>
    <row r="447" ht="15.75" customHeight="1">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row>
    <row r="448" ht="15.75" customHeight="1">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row>
    <row r="449" ht="15.75" customHeight="1">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row>
    <row r="450" ht="15.75" customHeight="1">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row>
    <row r="451" ht="15.75" customHeight="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row>
    <row r="452" ht="15.75" customHeight="1">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row>
    <row r="453" ht="15.75" customHeight="1">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row>
    <row r="454" ht="15.75" customHeight="1">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row>
    <row r="455" ht="15.75" customHeight="1">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row>
    <row r="456" ht="15.75" customHeight="1">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row>
    <row r="457" ht="15.75" customHeight="1">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row>
    <row r="458" ht="15.75" customHeight="1">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row>
    <row r="459" ht="15.75" customHeight="1">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row>
    <row r="460" ht="15.75" customHeight="1">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row>
    <row r="461" ht="15.75" customHeight="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row>
    <row r="462" ht="15.75" customHeight="1">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row>
    <row r="463" ht="15.75" customHeight="1">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row>
    <row r="464" ht="15.75" customHeight="1">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row>
    <row r="465" ht="15.75" customHeight="1">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row>
    <row r="466" ht="15.75" customHeight="1">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row>
    <row r="467" ht="15.75" customHeight="1">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row>
    <row r="468" ht="15.75" customHeight="1">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row>
    <row r="469" ht="15.75" customHeight="1">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row>
    <row r="470" ht="15.75" customHeight="1">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row>
    <row r="471" ht="15.75" customHeight="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row>
    <row r="472" ht="15.75" customHeight="1">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row>
    <row r="473" ht="15.75" customHeight="1">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row>
    <row r="474" ht="15.75" customHeight="1">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row>
    <row r="475" ht="15.75" customHeight="1">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row>
    <row r="476" ht="15.75" customHeight="1">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row>
    <row r="477" ht="15.75" customHeight="1">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row>
    <row r="478" ht="15.75" customHeight="1">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row>
    <row r="479" ht="15.75" customHeight="1">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row>
    <row r="480" ht="15.75" customHeight="1">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row>
    <row r="481" ht="15.75" customHeight="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row>
    <row r="482" ht="15.75" customHeight="1">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row>
    <row r="483" ht="15.75" customHeight="1">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row>
    <row r="484" ht="15.75" customHeight="1">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row>
    <row r="485" ht="15.75" customHeight="1">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row>
    <row r="486" ht="15.75" customHeight="1">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row>
    <row r="487" ht="15.75" customHeight="1">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row>
    <row r="488" ht="15.75" customHeight="1">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row>
    <row r="489" ht="15.75" customHeight="1">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row>
    <row r="490" ht="15.75" customHeight="1">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row>
    <row r="491" ht="15.75" customHeight="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row>
    <row r="492" ht="15.75" customHeight="1">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row>
    <row r="493" ht="15.75" customHeight="1">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row>
    <row r="494" ht="15.75" customHeight="1">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row>
    <row r="495" ht="15.75" customHeight="1">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row>
    <row r="496" ht="15.75" customHeight="1">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row>
    <row r="497" ht="15.75" customHeight="1">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row>
    <row r="498" ht="15.75" customHeight="1">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row>
    <row r="499" ht="15.75" customHeight="1">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row>
    <row r="500" ht="15.75" customHeight="1">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row>
    <row r="501" ht="15.75" customHeight="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row>
    <row r="502" ht="15.75" customHeight="1">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row>
    <row r="503" ht="15.75" customHeight="1">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row>
    <row r="504" ht="15.75" customHeight="1">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row>
    <row r="505" ht="15.75" customHeight="1">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row>
    <row r="506" ht="15.75" customHeight="1">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row>
    <row r="507" ht="15.75" customHeight="1">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row>
    <row r="508" ht="15.75" customHeight="1">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row>
    <row r="509" ht="15.75" customHeight="1">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row>
    <row r="510" ht="15.75" customHeight="1">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row>
    <row r="511" ht="15.75" customHeight="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row>
    <row r="512" ht="15.75" customHeight="1">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row>
    <row r="513" ht="15.75" customHeight="1">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row>
    <row r="514" ht="15.75" customHeight="1">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row>
    <row r="515" ht="15.75" customHeight="1">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row>
    <row r="516" ht="15.75" customHeight="1">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row>
    <row r="517" ht="15.75" customHeight="1">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row>
    <row r="518" ht="15.75" customHeight="1">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row>
    <row r="519" ht="15.75" customHeight="1">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row>
    <row r="520" ht="15.75" customHeight="1">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row>
    <row r="521" ht="15.75" customHeight="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row>
    <row r="522" ht="15.75" customHeight="1">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row>
    <row r="523" ht="15.75" customHeight="1">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row>
    <row r="524" ht="15.75" customHeight="1">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row>
    <row r="525" ht="15.75" customHeight="1">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row>
    <row r="526" ht="15.75" customHeight="1">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row>
    <row r="527" ht="15.75" customHeight="1">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row>
    <row r="528" ht="15.75" customHeight="1">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row>
    <row r="529" ht="15.75" customHeight="1">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row>
    <row r="530" ht="15.75" customHeight="1">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row>
    <row r="531" ht="15.75" customHeight="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row>
    <row r="532" ht="15.75" customHeight="1">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row>
    <row r="533" ht="15.75" customHeight="1">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row>
    <row r="534" ht="15.75" customHeight="1">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row>
    <row r="535" ht="15.75" customHeight="1">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row>
    <row r="536" ht="15.75" customHeight="1">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row>
    <row r="537" ht="15.75" customHeight="1">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row>
    <row r="538" ht="15.75" customHeight="1">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row>
    <row r="539" ht="15.75" customHeight="1">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row>
    <row r="540" ht="15.75" customHeight="1">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row>
    <row r="541" ht="15.75" customHeight="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row>
    <row r="542" ht="15.75" customHeight="1">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row>
    <row r="543" ht="15.75" customHeight="1">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row>
    <row r="544" ht="15.75" customHeight="1">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row>
    <row r="545" ht="15.75" customHeight="1">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row>
    <row r="546" ht="15.75" customHeight="1">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row>
    <row r="547" ht="15.75" customHeight="1">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row>
    <row r="548" ht="15.75" customHeight="1">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row>
    <row r="549" ht="15.75" customHeight="1">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row>
    <row r="550" ht="15.75" customHeight="1">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row>
    <row r="551" ht="15.75" customHeight="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row>
    <row r="552" ht="15.75" customHeight="1">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row>
    <row r="553" ht="15.75" customHeight="1">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row>
    <row r="554" ht="15.75" customHeight="1">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row>
    <row r="555" ht="15.75" customHeight="1">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row>
    <row r="556" ht="15.75" customHeight="1">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row>
    <row r="557" ht="15.75" customHeight="1">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row>
    <row r="558" ht="15.75" customHeight="1">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row>
    <row r="559" ht="15.75" customHeight="1">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row>
    <row r="560" ht="15.75" customHeight="1">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row>
    <row r="561" ht="15.75" customHeight="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row>
    <row r="562" ht="15.75" customHeight="1">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row>
    <row r="563" ht="15.75" customHeight="1">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row>
    <row r="564" ht="15.75" customHeight="1">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row>
    <row r="565" ht="15.75" customHeight="1">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row>
    <row r="566" ht="15.75" customHeight="1">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row>
    <row r="567" ht="15.75" customHeight="1">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row>
    <row r="568" ht="15.75" customHeight="1">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row>
    <row r="569" ht="15.75" customHeight="1">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row>
    <row r="570" ht="15.75" customHeight="1">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row>
    <row r="571" ht="15.75" customHeight="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row>
    <row r="572" ht="15.75" customHeight="1">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row>
    <row r="573" ht="15.75" customHeight="1">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row>
    <row r="574" ht="15.75" customHeight="1">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row>
    <row r="575" ht="15.75" customHeight="1">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row>
    <row r="576" ht="15.75" customHeight="1">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row>
    <row r="577" ht="15.75" customHeight="1">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row>
    <row r="578" ht="15.75" customHeight="1">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row>
    <row r="579" ht="15.75" customHeight="1">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row>
    <row r="580" ht="15.75" customHeight="1">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row>
    <row r="581" ht="15.75" customHeight="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row>
    <row r="582" ht="15.75" customHeight="1">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row>
    <row r="583" ht="15.75" customHeight="1">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row>
    <row r="584" ht="15.75" customHeight="1">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row>
    <row r="585" ht="15.75" customHeight="1">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row>
    <row r="586" ht="15.75" customHeight="1">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row>
    <row r="587" ht="15.75" customHeight="1">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row>
    <row r="588" ht="15.75" customHeight="1">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row>
    <row r="589" ht="15.75" customHeight="1">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row>
    <row r="590" ht="15.75" customHeight="1">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row>
    <row r="591" ht="15.75" customHeight="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row>
    <row r="592" ht="15.75" customHeight="1">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row>
    <row r="593" ht="15.75" customHeight="1">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row>
    <row r="594" ht="15.75" customHeight="1">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row>
    <row r="595" ht="15.75" customHeight="1">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row>
    <row r="596" ht="15.75" customHeight="1">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row>
    <row r="597" ht="15.75" customHeight="1">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row>
    <row r="598" ht="15.75" customHeight="1">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row>
    <row r="599" ht="15.75" customHeight="1">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row>
    <row r="600" ht="15.75" customHeight="1">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row>
    <row r="601" ht="15.75" customHeight="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row>
    <row r="602" ht="15.75" customHeight="1">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row>
    <row r="603" ht="15.75" customHeight="1">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row>
    <row r="604" ht="15.75" customHeight="1">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row>
    <row r="605" ht="15.75" customHeight="1">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row>
    <row r="606" ht="15.75" customHeight="1">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row>
    <row r="607" ht="15.75" customHeight="1">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row>
    <row r="608" ht="15.75" customHeight="1">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row>
    <row r="609" ht="15.75" customHeight="1">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row>
    <row r="610" ht="15.75" customHeight="1">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row>
    <row r="611" ht="15.75" customHeight="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row>
    <row r="612" ht="15.75" customHeight="1">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row>
    <row r="613" ht="15.75" customHeight="1">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row>
    <row r="614" ht="15.75" customHeight="1">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row>
    <row r="615" ht="15.75" customHeight="1">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row>
    <row r="616" ht="15.75" customHeight="1">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row>
    <row r="617" ht="15.75" customHeight="1">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row>
    <row r="618" ht="15.75" customHeight="1">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row>
    <row r="619" ht="15.75" customHeight="1">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row>
    <row r="620" ht="15.75" customHeight="1">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row>
    <row r="621" ht="15.75" customHeight="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row>
    <row r="622" ht="15.75" customHeight="1">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row>
    <row r="623" ht="15.75" customHeight="1">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row>
    <row r="624" ht="15.75" customHeight="1">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row>
    <row r="625" ht="15.75" customHeight="1">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row>
    <row r="626" ht="15.75" customHeight="1">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row>
    <row r="627" ht="15.75" customHeight="1">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row>
    <row r="628" ht="15.75" customHeight="1">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row>
    <row r="629" ht="15.75" customHeight="1">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row>
    <row r="630" ht="15.75" customHeight="1">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row>
    <row r="631" ht="15.75" customHeight="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row>
    <row r="632" ht="15.75" customHeight="1">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row>
    <row r="633" ht="15.75" customHeight="1">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row>
    <row r="634" ht="15.75" customHeight="1">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row>
    <row r="635" ht="15.75" customHeight="1">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row>
    <row r="636" ht="15.75" customHeight="1">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row>
    <row r="637" ht="15.75" customHeight="1">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row>
    <row r="638" ht="15.75" customHeight="1">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row>
    <row r="639" ht="15.75" customHeight="1">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row>
    <row r="640" ht="15.75" customHeight="1">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row>
    <row r="641" ht="15.75" customHeight="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row>
    <row r="642" ht="15.75" customHeight="1">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row>
    <row r="643" ht="15.75" customHeight="1">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row>
    <row r="644" ht="15.75" customHeight="1">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row>
    <row r="645" ht="15.75" customHeight="1">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row>
    <row r="646" ht="15.75" customHeight="1">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row>
    <row r="647" ht="15.75" customHeight="1">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row>
    <row r="648" ht="15.75" customHeight="1">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row>
    <row r="649" ht="15.75" customHeight="1">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row>
    <row r="650" ht="15.75" customHeight="1">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row>
    <row r="651" ht="15.75" customHeight="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row>
    <row r="652" ht="15.75" customHeight="1">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row>
    <row r="653" ht="15.75" customHeight="1">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row>
    <row r="654" ht="15.75" customHeight="1">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row>
    <row r="655" ht="15.75" customHeight="1">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row>
    <row r="656" ht="15.75" customHeight="1">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row>
    <row r="657" ht="15.75" customHeight="1">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row>
    <row r="658" ht="15.75" customHeight="1">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row>
    <row r="659" ht="15.75" customHeight="1">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row>
    <row r="660" ht="15.75" customHeight="1">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row>
    <row r="661" ht="15.75" customHeight="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row>
    <row r="662" ht="15.75" customHeight="1">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row>
    <row r="663" ht="15.75" customHeight="1">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row>
    <row r="664" ht="15.75" customHeight="1">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row>
    <row r="665" ht="15.75" customHeight="1">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row>
    <row r="666" ht="15.75" customHeight="1">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row>
    <row r="667" ht="15.75" customHeight="1">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row>
    <row r="668" ht="15.75" customHeight="1">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row>
    <row r="669" ht="15.75" customHeight="1">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row>
    <row r="670" ht="15.75" customHeight="1">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row>
    <row r="671" ht="15.75" customHeight="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row>
    <row r="672" ht="15.75" customHeight="1">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row>
    <row r="673" ht="15.75" customHeight="1">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row>
    <row r="674" ht="15.75" customHeight="1">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row>
    <row r="675" ht="15.75" customHeight="1">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row>
    <row r="676" ht="15.75" customHeight="1">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row>
    <row r="677" ht="15.75" customHeight="1">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row>
    <row r="678" ht="15.75" customHeight="1">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row>
    <row r="679" ht="15.75" customHeight="1">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row>
    <row r="680" ht="15.75" customHeight="1">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row>
    <row r="681" ht="15.75" customHeight="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row>
    <row r="682" ht="15.75" customHeight="1">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row>
    <row r="683" ht="15.75" customHeight="1">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row>
    <row r="684" ht="15.75" customHeight="1">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row>
    <row r="685" ht="15.75" customHeight="1">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row>
    <row r="686" ht="15.75" customHeight="1">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row>
    <row r="687" ht="15.75" customHeight="1">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row>
    <row r="688" ht="15.75" customHeight="1">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row>
    <row r="689" ht="15.75" customHeight="1">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row>
    <row r="690" ht="15.75" customHeight="1">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row>
    <row r="691" ht="15.75" customHeight="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row>
    <row r="692" ht="15.75" customHeight="1">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row>
    <row r="693" ht="15.75" customHeight="1">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row>
    <row r="694" ht="15.75" customHeight="1">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row>
    <row r="695" ht="15.75" customHeight="1">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row>
    <row r="696" ht="15.75" customHeight="1">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row>
    <row r="697" ht="15.75" customHeight="1">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row>
    <row r="698" ht="15.75" customHeight="1">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row>
    <row r="699" ht="15.75" customHeight="1">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row>
    <row r="700" ht="15.75" customHeight="1">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row>
    <row r="701" ht="15.75" customHeight="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row>
    <row r="702" ht="15.75" customHeight="1">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row>
    <row r="703" ht="15.75" customHeight="1">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row>
    <row r="704" ht="15.75" customHeight="1">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row>
    <row r="705" ht="15.75" customHeight="1">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row>
    <row r="706" ht="15.75" customHeight="1">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row>
    <row r="707" ht="15.75" customHeight="1">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row>
    <row r="708" ht="15.75" customHeight="1">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row>
    <row r="709" ht="15.75" customHeight="1">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row>
    <row r="710" ht="15.75" customHeight="1">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row>
    <row r="711" ht="15.75" customHeight="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row>
    <row r="712" ht="15.75" customHeight="1">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row>
    <row r="713" ht="15.75" customHeight="1">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row>
    <row r="714" ht="15.75" customHeight="1">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row>
    <row r="715" ht="15.75" customHeight="1">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row>
    <row r="716" ht="15.75" customHeight="1">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row>
    <row r="717" ht="15.75" customHeight="1">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row>
    <row r="718" ht="15.75" customHeight="1">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row>
    <row r="719" ht="15.75" customHeight="1">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row>
    <row r="720" ht="15.75" customHeight="1">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row>
    <row r="721" ht="15.75" customHeight="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row>
    <row r="722" ht="15.75" customHeight="1">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row>
    <row r="723" ht="15.75" customHeight="1">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row>
    <row r="724" ht="15.75" customHeight="1">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row>
    <row r="725" ht="15.75" customHeight="1">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row>
    <row r="726" ht="15.75" customHeight="1">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row>
    <row r="727" ht="15.75" customHeight="1">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row>
    <row r="728" ht="15.75" customHeight="1">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row>
    <row r="729" ht="15.75" customHeight="1">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row>
    <row r="730" ht="15.75" customHeight="1">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row>
    <row r="731" ht="15.75" customHeight="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row>
    <row r="732" ht="15.75" customHeight="1">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row>
    <row r="733" ht="15.75" customHeight="1">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row>
    <row r="734" ht="15.75" customHeight="1">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row>
    <row r="735" ht="15.75" customHeight="1">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row>
    <row r="736" ht="15.75" customHeight="1">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row>
    <row r="737" ht="15.75" customHeight="1">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row>
    <row r="738" ht="15.75" customHeight="1">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row>
    <row r="739" ht="15.75" customHeight="1">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row>
    <row r="740" ht="15.75" customHeight="1">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row>
    <row r="741" ht="15.75" customHeight="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row>
    <row r="742" ht="15.75" customHeight="1">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row>
    <row r="743" ht="15.75" customHeight="1">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row>
    <row r="744" ht="15.75" customHeight="1">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row>
    <row r="745" ht="15.75" customHeight="1">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row>
    <row r="746" ht="15.75" customHeight="1">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row>
    <row r="747" ht="15.75" customHeight="1">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row>
    <row r="748" ht="15.75" customHeight="1">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row>
    <row r="749" ht="15.75" customHeight="1">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row>
    <row r="750" ht="15.75" customHeight="1">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row>
    <row r="751" ht="15.75" customHeight="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row>
    <row r="752" ht="15.75" customHeight="1">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row>
    <row r="753" ht="15.75" customHeight="1">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row>
    <row r="754" ht="15.75" customHeight="1">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row>
    <row r="755" ht="15.75" customHeight="1">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row>
    <row r="756" ht="15.75" customHeight="1">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row>
    <row r="757" ht="15.75" customHeight="1">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row>
    <row r="758" ht="15.75" customHeight="1">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row>
    <row r="759" ht="15.75" customHeight="1">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row>
    <row r="760" ht="15.75" customHeight="1">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row>
    <row r="761" ht="15.75" customHeight="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row>
    <row r="762" ht="15.75" customHeight="1">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row>
    <row r="763" ht="15.75" customHeight="1">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row>
    <row r="764" ht="15.75" customHeight="1">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row>
    <row r="765" ht="15.75" customHeight="1">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row>
    <row r="766" ht="15.75" customHeight="1">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row>
    <row r="767" ht="15.75" customHeight="1">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row>
    <row r="768" ht="15.75" customHeight="1">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row>
    <row r="769" ht="15.75" customHeight="1">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row>
    <row r="770" ht="15.75" customHeight="1">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row>
    <row r="771" ht="15.75" customHeight="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row>
    <row r="772" ht="15.75" customHeight="1">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row>
    <row r="773" ht="15.75" customHeight="1">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row>
    <row r="774" ht="15.75" customHeight="1">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row>
    <row r="775" ht="15.75" customHeight="1">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row>
    <row r="776" ht="15.75" customHeight="1">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row>
    <row r="777" ht="15.75" customHeight="1">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row>
    <row r="778" ht="15.75" customHeight="1">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row>
    <row r="779" ht="15.75" customHeight="1">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row>
    <row r="780" ht="15.75" customHeight="1">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row>
    <row r="781" ht="15.75" customHeight="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row>
    <row r="782" ht="15.75" customHeight="1">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row>
    <row r="783" ht="15.75" customHeight="1">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row>
    <row r="784" ht="15.75" customHeight="1">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row>
    <row r="785" ht="15.75" customHeight="1">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row>
    <row r="786" ht="15.75" customHeight="1">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row>
    <row r="787" ht="15.75" customHeight="1">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row>
    <row r="788" ht="15.75" customHeight="1">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row>
    <row r="789" ht="15.75" customHeight="1">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row>
    <row r="790" ht="15.75" customHeight="1">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row>
    <row r="791" ht="15.75" customHeight="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row>
    <row r="792" ht="15.75" customHeight="1">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row>
    <row r="793" ht="15.75" customHeight="1">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row>
    <row r="794" ht="15.75" customHeight="1">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row>
    <row r="795" ht="15.75" customHeight="1">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row>
    <row r="796" ht="15.75" customHeight="1">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row>
    <row r="797" ht="15.75" customHeight="1">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row>
    <row r="798" ht="15.75" customHeight="1">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row>
    <row r="799" ht="15.75" customHeight="1">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row>
    <row r="800" ht="15.75" customHeight="1">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row>
    <row r="801" ht="15.75" customHeight="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row>
    <row r="802" ht="15.75" customHeight="1">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row>
    <row r="803" ht="15.75" customHeight="1">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row>
    <row r="804" ht="15.75" customHeight="1">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row>
    <row r="805" ht="15.75" customHeight="1">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row>
    <row r="806" ht="15.75" customHeight="1">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row>
    <row r="807" ht="15.75" customHeight="1">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row>
    <row r="808" ht="15.75" customHeight="1">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row>
    <row r="809" ht="15.75" customHeight="1">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row>
    <row r="810" ht="15.75" customHeight="1">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row>
    <row r="811" ht="15.75" customHeight="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row>
    <row r="812" ht="15.75" customHeight="1">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row>
    <row r="813" ht="15.75" customHeight="1">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row>
    <row r="814" ht="15.75" customHeight="1">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row>
    <row r="815" ht="15.75" customHeight="1">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row>
    <row r="816" ht="15.75" customHeight="1">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row>
    <row r="817" ht="15.75" customHeight="1">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row>
    <row r="818" ht="15.75" customHeight="1">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row>
    <row r="819" ht="15.75" customHeight="1">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row>
    <row r="820" ht="15.75" customHeight="1">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row>
    <row r="821" ht="15.75" customHeight="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row>
    <row r="822" ht="15.75" customHeight="1">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row>
    <row r="823" ht="15.75" customHeight="1">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row>
    <row r="824" ht="15.75" customHeight="1">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row>
    <row r="825" ht="15.75" customHeight="1">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row>
    <row r="826" ht="15.75" customHeight="1">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row>
    <row r="827" ht="15.75" customHeight="1">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row>
    <row r="828" ht="15.75" customHeight="1">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row>
    <row r="829" ht="15.75" customHeight="1">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row>
    <row r="830" ht="15.75" customHeight="1">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row>
    <row r="831" ht="15.75" customHeight="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row>
    <row r="832" ht="15.75" customHeight="1">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row>
    <row r="833" ht="15.75" customHeight="1">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row>
    <row r="834" ht="15.75" customHeight="1">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row>
    <row r="835" ht="15.75" customHeight="1">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row>
    <row r="836" ht="15.75" customHeight="1">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row>
    <row r="837" ht="15.75" customHeight="1">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row>
    <row r="838" ht="15.75" customHeight="1">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row>
    <row r="839" ht="15.75" customHeight="1">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row>
    <row r="840" ht="15.75" customHeight="1">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row>
    <row r="841" ht="15.75" customHeight="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row>
    <row r="842" ht="15.75" customHeight="1">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row>
    <row r="843" ht="15.75" customHeight="1">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row>
    <row r="844" ht="15.75" customHeight="1">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row>
    <row r="845" ht="15.75" customHeight="1">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row>
    <row r="846" ht="15.75" customHeight="1">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row>
    <row r="847" ht="15.75" customHeight="1">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row>
    <row r="848" ht="15.75" customHeight="1">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row>
    <row r="849" ht="15.75" customHeight="1">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row>
    <row r="850" ht="15.75" customHeight="1">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row>
    <row r="851" ht="15.75" customHeight="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row>
    <row r="852" ht="15.75" customHeight="1">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row>
    <row r="853" ht="15.75" customHeight="1">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row>
    <row r="854" ht="15.75" customHeight="1">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row>
    <row r="855" ht="15.75" customHeight="1">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row>
    <row r="856" ht="15.75" customHeight="1">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row>
    <row r="857" ht="15.75" customHeight="1">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row>
    <row r="858" ht="15.75" customHeight="1">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row>
    <row r="859" ht="15.75" customHeight="1">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row>
    <row r="860" ht="15.75" customHeight="1">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row>
    <row r="861" ht="15.75" customHeight="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row>
    <row r="862" ht="15.75" customHeight="1">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row>
    <row r="863" ht="15.75" customHeight="1">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row>
    <row r="864" ht="15.75" customHeight="1">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row>
    <row r="865" ht="15.75" customHeight="1">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row>
    <row r="866" ht="15.75" customHeight="1">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row>
    <row r="867" ht="15.75" customHeight="1">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row>
    <row r="868" ht="15.75" customHeight="1">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row>
    <row r="869" ht="15.75" customHeight="1">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row>
    <row r="870" ht="15.75" customHeight="1">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row>
    <row r="871" ht="15.75" customHeight="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row>
    <row r="872" ht="15.75" customHeight="1">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row>
    <row r="873" ht="15.75" customHeight="1">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row>
    <row r="874" ht="15.75" customHeight="1">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row>
    <row r="875" ht="15.75" customHeight="1">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row>
    <row r="876" ht="15.75" customHeight="1">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row>
    <row r="877" ht="15.75" customHeight="1">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row>
    <row r="878" ht="15.75" customHeight="1">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row>
    <row r="879" ht="15.75" customHeight="1">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row>
    <row r="880" ht="15.75" customHeight="1">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row>
    <row r="881" ht="15.75" customHeight="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row>
    <row r="882" ht="15.75" customHeight="1">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row>
    <row r="883" ht="15.75" customHeight="1">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row>
    <row r="884" ht="15.75" customHeight="1">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row>
    <row r="885" ht="15.75" customHeight="1">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row>
    <row r="886" ht="15.75" customHeight="1">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row>
    <row r="887" ht="15.75" customHeight="1">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row>
    <row r="888" ht="15.75" customHeight="1">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row>
    <row r="889" ht="15.75" customHeight="1">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row>
    <row r="890" ht="15.75" customHeight="1">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row>
    <row r="891" ht="15.75" customHeight="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row>
    <row r="892" ht="15.75" customHeight="1">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row>
    <row r="893" ht="15.75" customHeight="1">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row>
    <row r="894" ht="15.75" customHeight="1">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row>
    <row r="895" ht="15.75" customHeight="1">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row>
    <row r="896" ht="15.75" customHeight="1">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row>
    <row r="897" ht="15.75" customHeight="1">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row>
    <row r="898" ht="15.75" customHeight="1">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row>
    <row r="899" ht="15.75" customHeight="1">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row>
    <row r="900" ht="15.75" customHeight="1">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row>
    <row r="901" ht="15.75" customHeight="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row>
    <row r="902" ht="15.75" customHeight="1">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row>
    <row r="903" ht="15.75" customHeight="1">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row>
    <row r="904" ht="15.75" customHeight="1">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row>
    <row r="905" ht="15.75" customHeight="1">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row>
    <row r="906" ht="15.75" customHeight="1">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row>
    <row r="907" ht="15.75" customHeight="1">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row>
    <row r="908" ht="15.75" customHeight="1">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row>
    <row r="909" ht="15.75" customHeight="1">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row>
    <row r="910" ht="15.75" customHeight="1">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row>
    <row r="911" ht="15.75" customHeight="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row>
    <row r="912" ht="15.75" customHeight="1">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row>
    <row r="913" ht="15.75" customHeight="1">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row>
    <row r="914" ht="15.75" customHeight="1">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row>
    <row r="915" ht="15.75" customHeight="1">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row>
    <row r="916" ht="15.75" customHeight="1">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row>
    <row r="917" ht="15.75" customHeight="1">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row>
    <row r="918" ht="15.75" customHeight="1">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row>
    <row r="919" ht="15.75" customHeight="1">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row>
    <row r="920" ht="15.75" customHeight="1">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row>
    <row r="921" ht="15.75" customHeight="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row>
    <row r="922" ht="15.75" customHeight="1">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row>
    <row r="923" ht="15.75" customHeight="1">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row>
    <row r="924" ht="15.75" customHeight="1">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row>
    <row r="925" ht="15.75" customHeight="1">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row>
    <row r="926" ht="15.75" customHeight="1">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row>
    <row r="927" ht="15.75" customHeight="1">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row>
    <row r="928" ht="15.75" customHeight="1">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row>
    <row r="929" ht="15.75" customHeight="1">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row>
    <row r="930" ht="15.75" customHeight="1">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row>
    <row r="931" ht="15.75" customHeight="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row>
    <row r="932" ht="15.75" customHeight="1">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row>
    <row r="933" ht="15.75" customHeight="1">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row>
    <row r="934" ht="15.75" customHeight="1">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row>
    <row r="935" ht="15.75" customHeight="1">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row>
    <row r="936" ht="15.75" customHeight="1">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row>
    <row r="937" ht="15.75" customHeight="1">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row>
    <row r="938" ht="15.75" customHeight="1">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row>
    <row r="939" ht="15.75" customHeight="1">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row>
    <row r="940" ht="15.75" customHeight="1">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row>
    <row r="941" ht="15.75" customHeight="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row>
    <row r="942" ht="15.75" customHeight="1">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row>
    <row r="943" ht="15.75" customHeight="1">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row>
    <row r="944" ht="15.75" customHeight="1">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row>
    <row r="945" ht="15.75" customHeight="1">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row>
    <row r="946" ht="15.75" customHeight="1">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row>
    <row r="947" ht="15.75" customHeight="1">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row>
    <row r="948" ht="15.75" customHeight="1">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row>
    <row r="949" ht="15.75" customHeight="1">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row>
    <row r="950" ht="15.75" customHeight="1">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row>
    <row r="951" ht="15.75" customHeight="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row>
    <row r="952" ht="15.75" customHeight="1">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row>
    <row r="953" ht="15.75" customHeight="1">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row>
    <row r="954" ht="15.75" customHeight="1">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row>
    <row r="955" ht="15.75" customHeight="1">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row>
    <row r="956" ht="15.75" customHeight="1">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row>
    <row r="957" ht="15.75" customHeight="1">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row>
    <row r="958" ht="15.75" customHeight="1">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row>
    <row r="959" ht="15.75" customHeight="1">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row>
    <row r="960" ht="15.75" customHeight="1">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row>
    <row r="961" ht="15.75" customHeight="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row>
    <row r="962" ht="15.75" customHeight="1">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row>
    <row r="963" ht="15.75" customHeight="1">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row>
    <row r="964" ht="15.75" customHeight="1">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row>
    <row r="965" ht="15.75" customHeight="1">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row>
    <row r="966" ht="15.75" customHeight="1">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row>
    <row r="967" ht="15.75" customHeight="1">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row>
    <row r="968" ht="15.75" customHeight="1">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row>
    <row r="969" ht="15.75" customHeight="1">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row>
    <row r="970" ht="15.75" customHeight="1">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row>
    <row r="971" ht="15.75" customHeight="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row>
    <row r="972" ht="15.75" customHeight="1">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row>
    <row r="973" ht="15.75" customHeight="1">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row>
    <row r="974" ht="15.75" customHeight="1">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row>
    <row r="975" ht="15.75" customHeight="1">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row>
    <row r="976" ht="15.75" customHeight="1">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row>
    <row r="977" ht="15.75" customHeight="1">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row>
    <row r="978" ht="15.75" customHeight="1">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row>
    <row r="979" ht="15.75" customHeight="1">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row>
    <row r="980" ht="15.75" customHeight="1">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row>
    <row r="981" ht="15.75" customHeight="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row>
    <row r="982" ht="15.75" customHeight="1">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row>
    <row r="983" ht="15.75" customHeight="1">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row>
    <row r="984" ht="15.75" customHeight="1">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row>
    <row r="985" ht="15.75" customHeight="1">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row>
    <row r="986" ht="15.75" customHeight="1">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row>
    <row r="987" ht="15.75" customHeight="1">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row>
    <row r="988" ht="15.75" customHeight="1">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row>
    <row r="989" ht="15.75" customHeight="1">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row>
    <row r="990" ht="15.75" customHeight="1">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row>
    <row r="991" ht="15.75" customHeight="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row>
    <row r="992" ht="15.75" customHeight="1">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row>
    <row r="993" ht="15.75" customHeight="1">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row>
    <row r="994" ht="15.75" customHeight="1">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row>
    <row r="995" ht="15.75" customHeight="1">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row>
    <row r="996" ht="15.75" customHeight="1">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row>
    <row r="997" ht="15.75" customHeight="1">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row>
    <row r="998" ht="15.75" customHeight="1">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row>
    <row r="999" ht="15.75" customHeight="1">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row>
    <row r="1000" ht="15.75" customHeight="1">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row>
    <row r="1001" ht="15.75" customHeight="1">
      <c r="A1001" s="201"/>
      <c r="B1001" s="201"/>
      <c r="C1001" s="201"/>
      <c r="D1001" s="201"/>
      <c r="E1001" s="201"/>
      <c r="F1001" s="201"/>
      <c r="G1001" s="201"/>
      <c r="H1001" s="201"/>
      <c r="I1001" s="201"/>
      <c r="J1001" s="201"/>
      <c r="K1001" s="201"/>
      <c r="L1001" s="201"/>
      <c r="M1001" s="201"/>
      <c r="N1001" s="201"/>
      <c r="O1001" s="201"/>
      <c r="P1001" s="201"/>
      <c r="Q1001" s="201"/>
      <c r="R1001" s="201"/>
      <c r="S1001" s="201"/>
      <c r="T1001" s="201"/>
      <c r="U1001" s="201"/>
      <c r="V1001" s="201"/>
      <c r="W1001" s="201"/>
      <c r="X1001" s="201"/>
      <c r="Y1001" s="201"/>
      <c r="Z1001" s="201"/>
    </row>
    <row r="1002" ht="15.75" customHeight="1">
      <c r="A1002" s="201"/>
      <c r="B1002" s="201"/>
      <c r="C1002" s="201"/>
      <c r="D1002" s="201"/>
      <c r="E1002" s="201"/>
      <c r="F1002" s="201"/>
      <c r="G1002" s="201"/>
      <c r="H1002" s="201"/>
      <c r="I1002" s="201"/>
      <c r="J1002" s="201"/>
      <c r="K1002" s="201"/>
      <c r="L1002" s="201"/>
      <c r="M1002" s="201"/>
      <c r="N1002" s="201"/>
      <c r="O1002" s="201"/>
      <c r="P1002" s="201"/>
      <c r="Q1002" s="201"/>
      <c r="R1002" s="201"/>
      <c r="S1002" s="201"/>
      <c r="T1002" s="201"/>
      <c r="U1002" s="201"/>
      <c r="V1002" s="201"/>
      <c r="W1002" s="201"/>
      <c r="X1002" s="201"/>
      <c r="Y1002" s="201"/>
      <c r="Z1002" s="201"/>
    </row>
    <row r="1003" ht="15.75" customHeight="1">
      <c r="A1003" s="201"/>
      <c r="B1003" s="201"/>
      <c r="C1003" s="201"/>
      <c r="D1003" s="201"/>
      <c r="E1003" s="201"/>
      <c r="F1003" s="201"/>
      <c r="G1003" s="201"/>
      <c r="H1003" s="201"/>
      <c r="I1003" s="201"/>
      <c r="J1003" s="201"/>
      <c r="K1003" s="201"/>
      <c r="L1003" s="201"/>
      <c r="M1003" s="201"/>
      <c r="N1003" s="201"/>
      <c r="O1003" s="201"/>
      <c r="P1003" s="201"/>
      <c r="Q1003" s="201"/>
      <c r="R1003" s="201"/>
      <c r="S1003" s="201"/>
      <c r="T1003" s="201"/>
      <c r="U1003" s="201"/>
      <c r="V1003" s="201"/>
      <c r="W1003" s="201"/>
      <c r="X1003" s="201"/>
      <c r="Y1003" s="201"/>
      <c r="Z1003" s="201"/>
    </row>
    <row r="1004" ht="15.75" customHeight="1">
      <c r="A1004" s="201"/>
      <c r="B1004" s="201"/>
      <c r="C1004" s="201"/>
      <c r="D1004" s="201"/>
      <c r="E1004" s="201"/>
      <c r="F1004" s="201"/>
      <c r="G1004" s="201"/>
      <c r="H1004" s="201"/>
      <c r="I1004" s="201"/>
      <c r="J1004" s="201"/>
      <c r="K1004" s="201"/>
      <c r="L1004" s="201"/>
      <c r="M1004" s="201"/>
      <c r="N1004" s="201"/>
      <c r="O1004" s="201"/>
      <c r="P1004" s="201"/>
      <c r="Q1004" s="201"/>
      <c r="R1004" s="201"/>
      <c r="S1004" s="201"/>
      <c r="T1004" s="201"/>
      <c r="U1004" s="201"/>
      <c r="V1004" s="201"/>
      <c r="W1004" s="201"/>
      <c r="X1004" s="201"/>
      <c r="Y1004" s="201"/>
      <c r="Z1004" s="201"/>
    </row>
    <row r="1005" ht="15.75" customHeight="1">
      <c r="A1005" s="201"/>
      <c r="B1005" s="201"/>
      <c r="C1005" s="201"/>
      <c r="D1005" s="201"/>
      <c r="E1005" s="201"/>
      <c r="F1005" s="201"/>
      <c r="G1005" s="201"/>
      <c r="H1005" s="201"/>
      <c r="I1005" s="201"/>
      <c r="J1005" s="201"/>
      <c r="K1005" s="201"/>
      <c r="L1005" s="201"/>
      <c r="M1005" s="201"/>
      <c r="N1005" s="201"/>
      <c r="O1005" s="201"/>
      <c r="P1005" s="201"/>
      <c r="Q1005" s="201"/>
      <c r="R1005" s="201"/>
      <c r="S1005" s="201"/>
      <c r="T1005" s="201"/>
      <c r="U1005" s="201"/>
      <c r="V1005" s="201"/>
      <c r="W1005" s="201"/>
      <c r="X1005" s="201"/>
      <c r="Y1005" s="201"/>
      <c r="Z1005" s="201"/>
    </row>
    <row r="1006" ht="15.75" customHeight="1">
      <c r="A1006" s="201"/>
      <c r="B1006" s="201"/>
      <c r="C1006" s="201"/>
      <c r="D1006" s="201"/>
      <c r="E1006" s="201"/>
      <c r="F1006" s="201"/>
      <c r="G1006" s="201"/>
      <c r="H1006" s="201"/>
      <c r="I1006" s="201"/>
      <c r="J1006" s="201"/>
      <c r="K1006" s="201"/>
      <c r="L1006" s="201"/>
      <c r="M1006" s="201"/>
      <c r="N1006" s="201"/>
      <c r="O1006" s="201"/>
      <c r="P1006" s="201"/>
      <c r="Q1006" s="201"/>
      <c r="R1006" s="201"/>
      <c r="S1006" s="201"/>
      <c r="T1006" s="201"/>
      <c r="U1006" s="201"/>
      <c r="V1006" s="201"/>
      <c r="W1006" s="201"/>
      <c r="X1006" s="201"/>
      <c r="Y1006" s="201"/>
      <c r="Z1006" s="201"/>
    </row>
    <row r="1007" ht="15.75" customHeight="1">
      <c r="A1007" s="201"/>
      <c r="B1007" s="201"/>
      <c r="C1007" s="201"/>
      <c r="D1007" s="201"/>
      <c r="E1007" s="201"/>
      <c r="F1007" s="201"/>
      <c r="G1007" s="201"/>
      <c r="H1007" s="201"/>
      <c r="I1007" s="201"/>
      <c r="J1007" s="201"/>
      <c r="K1007" s="201"/>
      <c r="L1007" s="201"/>
      <c r="M1007" s="201"/>
      <c r="N1007" s="201"/>
      <c r="O1007" s="201"/>
      <c r="P1007" s="201"/>
      <c r="Q1007" s="201"/>
      <c r="R1007" s="201"/>
      <c r="S1007" s="201"/>
      <c r="T1007" s="201"/>
      <c r="U1007" s="201"/>
      <c r="V1007" s="201"/>
      <c r="W1007" s="201"/>
      <c r="X1007" s="201"/>
      <c r="Y1007" s="201"/>
      <c r="Z1007" s="201"/>
    </row>
    <row r="1008" ht="15.75" customHeight="1">
      <c r="A1008" s="201"/>
      <c r="B1008" s="201"/>
      <c r="C1008" s="201"/>
      <c r="D1008" s="201"/>
      <c r="E1008" s="201"/>
      <c r="F1008" s="201"/>
      <c r="G1008" s="201"/>
      <c r="H1008" s="201"/>
      <c r="I1008" s="201"/>
      <c r="J1008" s="201"/>
      <c r="K1008" s="201"/>
      <c r="L1008" s="201"/>
      <c r="M1008" s="201"/>
      <c r="N1008" s="201"/>
      <c r="O1008" s="201"/>
      <c r="P1008" s="201"/>
      <c r="Q1008" s="201"/>
      <c r="R1008" s="201"/>
      <c r="S1008" s="201"/>
      <c r="T1008" s="201"/>
      <c r="U1008" s="201"/>
      <c r="V1008" s="201"/>
      <c r="W1008" s="201"/>
      <c r="X1008" s="201"/>
      <c r="Y1008" s="201"/>
      <c r="Z1008" s="201"/>
    </row>
    <row r="1009" ht="15.75" customHeight="1">
      <c r="A1009" s="201"/>
      <c r="B1009" s="201"/>
      <c r="C1009" s="201"/>
      <c r="D1009" s="201"/>
      <c r="E1009" s="201"/>
      <c r="F1009" s="201"/>
      <c r="G1009" s="201"/>
      <c r="H1009" s="201"/>
      <c r="I1009" s="201"/>
      <c r="J1009" s="201"/>
      <c r="K1009" s="201"/>
      <c r="L1009" s="201"/>
      <c r="M1009" s="201"/>
      <c r="N1009" s="201"/>
      <c r="O1009" s="201"/>
      <c r="P1009" s="201"/>
      <c r="Q1009" s="201"/>
      <c r="R1009" s="201"/>
      <c r="S1009" s="201"/>
      <c r="T1009" s="201"/>
      <c r="U1009" s="201"/>
      <c r="V1009" s="201"/>
      <c r="W1009" s="201"/>
      <c r="X1009" s="201"/>
      <c r="Y1009" s="201"/>
      <c r="Z1009" s="201"/>
    </row>
    <row r="1010" ht="15.75" customHeight="1">
      <c r="A1010" s="201"/>
      <c r="B1010" s="201"/>
      <c r="C1010" s="201"/>
      <c r="D1010" s="201"/>
      <c r="E1010" s="201"/>
      <c r="F1010" s="201"/>
      <c r="G1010" s="201"/>
      <c r="H1010" s="201"/>
      <c r="I1010" s="201"/>
      <c r="J1010" s="201"/>
      <c r="K1010" s="201"/>
      <c r="L1010" s="201"/>
      <c r="M1010" s="201"/>
      <c r="N1010" s="201"/>
      <c r="O1010" s="201"/>
      <c r="P1010" s="201"/>
      <c r="Q1010" s="201"/>
      <c r="R1010" s="201"/>
      <c r="S1010" s="201"/>
      <c r="T1010" s="201"/>
      <c r="U1010" s="201"/>
      <c r="V1010" s="201"/>
      <c r="W1010" s="201"/>
      <c r="X1010" s="201"/>
      <c r="Y1010" s="201"/>
      <c r="Z1010" s="201"/>
    </row>
    <row r="1011" ht="15.75" customHeight="1">
      <c r="A1011" s="201"/>
      <c r="B1011" s="201"/>
      <c r="C1011" s="201"/>
      <c r="D1011" s="201"/>
      <c r="E1011" s="201"/>
      <c r="F1011" s="201"/>
      <c r="G1011" s="201"/>
      <c r="H1011" s="201"/>
      <c r="I1011" s="201"/>
      <c r="J1011" s="201"/>
      <c r="K1011" s="201"/>
      <c r="L1011" s="201"/>
      <c r="M1011" s="201"/>
      <c r="N1011" s="201"/>
      <c r="O1011" s="201"/>
      <c r="P1011" s="201"/>
      <c r="Q1011" s="201"/>
      <c r="R1011" s="201"/>
      <c r="S1011" s="201"/>
      <c r="T1011" s="201"/>
      <c r="U1011" s="201"/>
      <c r="V1011" s="201"/>
      <c r="W1011" s="201"/>
      <c r="X1011" s="201"/>
      <c r="Y1011" s="201"/>
      <c r="Z1011" s="201"/>
    </row>
    <row r="1012" ht="15.75" customHeight="1">
      <c r="A1012" s="201"/>
      <c r="B1012" s="201"/>
      <c r="C1012" s="201"/>
      <c r="D1012" s="201"/>
      <c r="E1012" s="201"/>
      <c r="F1012" s="201"/>
      <c r="G1012" s="201"/>
      <c r="H1012" s="201"/>
      <c r="I1012" s="201"/>
      <c r="J1012" s="201"/>
      <c r="K1012" s="201"/>
      <c r="L1012" s="201"/>
      <c r="M1012" s="201"/>
      <c r="N1012" s="201"/>
      <c r="O1012" s="201"/>
      <c r="P1012" s="201"/>
      <c r="Q1012" s="201"/>
      <c r="R1012" s="201"/>
      <c r="S1012" s="201"/>
      <c r="T1012" s="201"/>
      <c r="U1012" s="201"/>
      <c r="V1012" s="201"/>
      <c r="W1012" s="201"/>
      <c r="X1012" s="201"/>
      <c r="Y1012" s="201"/>
      <c r="Z1012" s="201"/>
    </row>
    <row r="1013" ht="15.75" customHeight="1">
      <c r="A1013" s="201"/>
      <c r="B1013" s="201"/>
      <c r="C1013" s="201"/>
      <c r="D1013" s="201"/>
      <c r="E1013" s="201"/>
      <c r="F1013" s="201"/>
      <c r="G1013" s="201"/>
      <c r="H1013" s="201"/>
      <c r="I1013" s="201"/>
      <c r="J1013" s="201"/>
      <c r="K1013" s="201"/>
      <c r="L1013" s="201"/>
      <c r="M1013" s="201"/>
      <c r="N1013" s="201"/>
      <c r="O1013" s="201"/>
      <c r="P1013" s="201"/>
      <c r="Q1013" s="201"/>
      <c r="R1013" s="201"/>
      <c r="S1013" s="201"/>
      <c r="T1013" s="201"/>
      <c r="U1013" s="201"/>
      <c r="V1013" s="201"/>
      <c r="W1013" s="201"/>
      <c r="X1013" s="201"/>
      <c r="Y1013" s="201"/>
      <c r="Z1013" s="201"/>
    </row>
    <row r="1014" ht="15.75" customHeight="1">
      <c r="A1014" s="201"/>
      <c r="B1014" s="201"/>
      <c r="C1014" s="201"/>
      <c r="D1014" s="201"/>
      <c r="E1014" s="201"/>
      <c r="F1014" s="201"/>
      <c r="G1014" s="201"/>
      <c r="H1014" s="201"/>
      <c r="I1014" s="201"/>
      <c r="J1014" s="201"/>
      <c r="K1014" s="201"/>
      <c r="L1014" s="201"/>
      <c r="M1014" s="201"/>
      <c r="N1014" s="201"/>
      <c r="O1014" s="201"/>
      <c r="P1014" s="201"/>
      <c r="Q1014" s="201"/>
      <c r="R1014" s="201"/>
      <c r="S1014" s="201"/>
      <c r="T1014" s="201"/>
      <c r="U1014" s="201"/>
      <c r="V1014" s="201"/>
      <c r="W1014" s="201"/>
      <c r="X1014" s="201"/>
      <c r="Y1014" s="201"/>
      <c r="Z1014" s="201"/>
    </row>
    <row r="1015" ht="15.75" customHeight="1">
      <c r="A1015" s="201"/>
      <c r="B1015" s="201"/>
      <c r="C1015" s="201"/>
      <c r="D1015" s="201"/>
      <c r="E1015" s="201"/>
      <c r="F1015" s="201"/>
      <c r="G1015" s="201"/>
      <c r="H1015" s="201"/>
      <c r="I1015" s="201"/>
      <c r="J1015" s="201"/>
      <c r="K1015" s="201"/>
      <c r="L1015" s="201"/>
      <c r="M1015" s="201"/>
      <c r="N1015" s="201"/>
      <c r="O1015" s="201"/>
      <c r="P1015" s="201"/>
      <c r="Q1015" s="201"/>
      <c r="R1015" s="201"/>
      <c r="S1015" s="201"/>
      <c r="T1015" s="201"/>
      <c r="U1015" s="201"/>
      <c r="V1015" s="201"/>
      <c r="W1015" s="201"/>
      <c r="X1015" s="201"/>
      <c r="Y1015" s="201"/>
      <c r="Z1015" s="201"/>
    </row>
    <row r="1016" ht="15.75" customHeight="1">
      <c r="A1016" s="201"/>
      <c r="B1016" s="201"/>
      <c r="C1016" s="201"/>
      <c r="D1016" s="201"/>
      <c r="E1016" s="201"/>
      <c r="F1016" s="201"/>
      <c r="G1016" s="201"/>
      <c r="H1016" s="201"/>
      <c r="I1016" s="201"/>
      <c r="J1016" s="201"/>
      <c r="K1016" s="201"/>
      <c r="L1016" s="201"/>
      <c r="M1016" s="201"/>
      <c r="N1016" s="201"/>
      <c r="O1016" s="201"/>
      <c r="P1016" s="201"/>
      <c r="Q1016" s="201"/>
      <c r="R1016" s="201"/>
      <c r="S1016" s="201"/>
      <c r="T1016" s="201"/>
      <c r="U1016" s="201"/>
      <c r="V1016" s="201"/>
      <c r="W1016" s="201"/>
      <c r="X1016" s="201"/>
      <c r="Y1016" s="201"/>
      <c r="Z1016" s="201"/>
    </row>
    <row r="1017" ht="15.75" customHeight="1">
      <c r="A1017" s="201"/>
      <c r="B1017" s="201"/>
      <c r="C1017" s="201"/>
      <c r="D1017" s="201"/>
      <c r="E1017" s="201"/>
      <c r="F1017" s="201"/>
      <c r="G1017" s="201"/>
      <c r="H1017" s="201"/>
      <c r="I1017" s="201"/>
      <c r="J1017" s="201"/>
      <c r="K1017" s="201"/>
      <c r="L1017" s="201"/>
      <c r="M1017" s="201"/>
      <c r="N1017" s="201"/>
      <c r="O1017" s="201"/>
      <c r="P1017" s="201"/>
      <c r="Q1017" s="201"/>
      <c r="R1017" s="201"/>
      <c r="S1017" s="201"/>
      <c r="T1017" s="201"/>
      <c r="U1017" s="201"/>
      <c r="V1017" s="201"/>
      <c r="W1017" s="201"/>
      <c r="X1017" s="201"/>
      <c r="Y1017" s="201"/>
      <c r="Z1017" s="201"/>
    </row>
    <row r="1018" ht="15.75" customHeight="1">
      <c r="A1018" s="201"/>
      <c r="B1018" s="201"/>
      <c r="C1018" s="201"/>
      <c r="D1018" s="201"/>
      <c r="E1018" s="201"/>
      <c r="F1018" s="201"/>
      <c r="G1018" s="201"/>
      <c r="H1018" s="201"/>
      <c r="I1018" s="201"/>
      <c r="J1018" s="201"/>
      <c r="K1018" s="201"/>
      <c r="L1018" s="201"/>
      <c r="M1018" s="201"/>
      <c r="N1018" s="201"/>
      <c r="O1018" s="201"/>
      <c r="P1018" s="201"/>
      <c r="Q1018" s="201"/>
      <c r="R1018" s="201"/>
      <c r="S1018" s="201"/>
      <c r="T1018" s="201"/>
      <c r="U1018" s="201"/>
      <c r="V1018" s="201"/>
      <c r="W1018" s="201"/>
      <c r="X1018" s="201"/>
      <c r="Y1018" s="201"/>
      <c r="Z1018" s="201"/>
    </row>
    <row r="1019" ht="15.75" customHeight="1">
      <c r="A1019" s="201"/>
      <c r="B1019" s="201"/>
      <c r="C1019" s="201"/>
      <c r="D1019" s="201"/>
      <c r="E1019" s="201"/>
      <c r="F1019" s="201"/>
      <c r="G1019" s="201"/>
      <c r="H1019" s="201"/>
      <c r="I1019" s="201"/>
      <c r="J1019" s="201"/>
      <c r="K1019" s="201"/>
      <c r="L1019" s="201"/>
      <c r="M1019" s="201"/>
      <c r="N1019" s="201"/>
      <c r="O1019" s="201"/>
      <c r="P1019" s="201"/>
      <c r="Q1019" s="201"/>
      <c r="R1019" s="201"/>
      <c r="S1019" s="201"/>
      <c r="T1019" s="201"/>
      <c r="U1019" s="201"/>
      <c r="V1019" s="201"/>
      <c r="W1019" s="201"/>
      <c r="X1019" s="201"/>
      <c r="Y1019" s="201"/>
      <c r="Z1019" s="201"/>
    </row>
    <row r="1020" ht="15.75" customHeight="1">
      <c r="A1020" s="201"/>
      <c r="B1020" s="201"/>
      <c r="C1020" s="201"/>
      <c r="D1020" s="201"/>
      <c r="E1020" s="201"/>
      <c r="F1020" s="201"/>
      <c r="G1020" s="201"/>
      <c r="H1020" s="201"/>
      <c r="I1020" s="201"/>
      <c r="J1020" s="201"/>
      <c r="K1020" s="201"/>
      <c r="L1020" s="201"/>
      <c r="M1020" s="201"/>
      <c r="N1020" s="201"/>
      <c r="O1020" s="201"/>
      <c r="P1020" s="201"/>
      <c r="Q1020" s="201"/>
      <c r="R1020" s="201"/>
      <c r="S1020" s="201"/>
      <c r="T1020" s="201"/>
      <c r="U1020" s="201"/>
      <c r="V1020" s="201"/>
      <c r="W1020" s="201"/>
      <c r="X1020" s="201"/>
      <c r="Y1020" s="201"/>
      <c r="Z1020" s="201"/>
    </row>
    <row r="1021" ht="15.75" customHeight="1">
      <c r="A1021" s="201"/>
      <c r="B1021" s="201"/>
      <c r="C1021" s="201"/>
      <c r="D1021" s="201"/>
      <c r="E1021" s="201"/>
      <c r="F1021" s="201"/>
      <c r="G1021" s="201"/>
      <c r="H1021" s="201"/>
      <c r="I1021" s="201"/>
      <c r="J1021" s="201"/>
      <c r="K1021" s="201"/>
      <c r="L1021" s="201"/>
      <c r="M1021" s="201"/>
      <c r="N1021" s="201"/>
      <c r="O1021" s="201"/>
      <c r="P1021" s="201"/>
      <c r="Q1021" s="201"/>
      <c r="R1021" s="201"/>
      <c r="S1021" s="201"/>
      <c r="T1021" s="201"/>
      <c r="U1021" s="201"/>
      <c r="V1021" s="201"/>
      <c r="W1021" s="201"/>
      <c r="X1021" s="201"/>
      <c r="Y1021" s="201"/>
      <c r="Z1021" s="201"/>
    </row>
    <row r="1022" ht="15.75" customHeight="1">
      <c r="A1022" s="201"/>
      <c r="B1022" s="201"/>
      <c r="C1022" s="201"/>
      <c r="D1022" s="201"/>
      <c r="E1022" s="201"/>
      <c r="F1022" s="201"/>
      <c r="G1022" s="201"/>
      <c r="H1022" s="201"/>
      <c r="I1022" s="201"/>
      <c r="J1022" s="201"/>
      <c r="K1022" s="201"/>
      <c r="L1022" s="201"/>
      <c r="M1022" s="201"/>
      <c r="N1022" s="201"/>
      <c r="O1022" s="201"/>
      <c r="P1022" s="201"/>
      <c r="Q1022" s="201"/>
      <c r="R1022" s="201"/>
      <c r="S1022" s="201"/>
      <c r="T1022" s="201"/>
      <c r="U1022" s="201"/>
      <c r="V1022" s="201"/>
      <c r="W1022" s="201"/>
      <c r="X1022" s="201"/>
      <c r="Y1022" s="201"/>
      <c r="Z1022" s="201"/>
    </row>
    <row r="1023" ht="15.75" customHeight="1">
      <c r="A1023" s="201"/>
      <c r="B1023" s="201"/>
      <c r="C1023" s="201"/>
      <c r="D1023" s="201"/>
      <c r="E1023" s="201"/>
      <c r="F1023" s="201"/>
      <c r="G1023" s="201"/>
      <c r="H1023" s="201"/>
      <c r="I1023" s="201"/>
      <c r="J1023" s="201"/>
      <c r="K1023" s="201"/>
      <c r="L1023" s="201"/>
      <c r="M1023" s="201"/>
      <c r="N1023" s="201"/>
      <c r="O1023" s="201"/>
      <c r="P1023" s="201"/>
      <c r="Q1023" s="201"/>
      <c r="R1023" s="201"/>
      <c r="S1023" s="201"/>
      <c r="T1023" s="201"/>
      <c r="U1023" s="201"/>
      <c r="V1023" s="201"/>
      <c r="W1023" s="201"/>
      <c r="X1023" s="201"/>
      <c r="Y1023" s="201"/>
      <c r="Z1023" s="201"/>
    </row>
    <row r="1024" ht="15.75" customHeight="1">
      <c r="A1024" s="201"/>
      <c r="B1024" s="201"/>
      <c r="C1024" s="201"/>
      <c r="D1024" s="201"/>
      <c r="E1024" s="201"/>
      <c r="F1024" s="201"/>
      <c r="G1024" s="201"/>
      <c r="H1024" s="201"/>
      <c r="I1024" s="201"/>
      <c r="J1024" s="201"/>
      <c r="K1024" s="201"/>
      <c r="L1024" s="201"/>
      <c r="M1024" s="201"/>
      <c r="N1024" s="201"/>
      <c r="O1024" s="201"/>
      <c r="P1024" s="201"/>
      <c r="Q1024" s="201"/>
      <c r="R1024" s="201"/>
      <c r="S1024" s="201"/>
      <c r="T1024" s="201"/>
      <c r="U1024" s="201"/>
      <c r="V1024" s="201"/>
      <c r="W1024" s="201"/>
      <c r="X1024" s="201"/>
      <c r="Y1024" s="201"/>
      <c r="Z1024" s="201"/>
    </row>
    <row r="1025" ht="15.75" customHeight="1">
      <c r="A1025" s="201"/>
      <c r="B1025" s="201"/>
      <c r="C1025" s="201"/>
      <c r="D1025" s="201"/>
      <c r="E1025" s="201"/>
      <c r="F1025" s="201"/>
      <c r="G1025" s="201"/>
      <c r="H1025" s="201"/>
      <c r="I1025" s="201"/>
      <c r="J1025" s="201"/>
      <c r="K1025" s="201"/>
      <c r="L1025" s="201"/>
      <c r="M1025" s="201"/>
      <c r="N1025" s="201"/>
      <c r="O1025" s="201"/>
      <c r="P1025" s="201"/>
      <c r="Q1025" s="201"/>
      <c r="R1025" s="201"/>
      <c r="S1025" s="201"/>
      <c r="T1025" s="201"/>
      <c r="U1025" s="201"/>
      <c r="V1025" s="201"/>
      <c r="W1025" s="201"/>
      <c r="X1025" s="201"/>
      <c r="Y1025" s="201"/>
      <c r="Z1025" s="201"/>
    </row>
    <row r="1026" ht="15.75" customHeight="1">
      <c r="A1026" s="201"/>
      <c r="B1026" s="201"/>
      <c r="C1026" s="201"/>
      <c r="D1026" s="201"/>
      <c r="E1026" s="201"/>
      <c r="F1026" s="201"/>
      <c r="G1026" s="201"/>
      <c r="H1026" s="201"/>
      <c r="I1026" s="201"/>
      <c r="J1026" s="201"/>
      <c r="K1026" s="201"/>
      <c r="L1026" s="201"/>
      <c r="M1026" s="201"/>
      <c r="N1026" s="201"/>
      <c r="O1026" s="201"/>
      <c r="P1026" s="201"/>
      <c r="Q1026" s="201"/>
      <c r="R1026" s="201"/>
      <c r="S1026" s="201"/>
      <c r="T1026" s="201"/>
      <c r="U1026" s="201"/>
      <c r="V1026" s="201"/>
      <c r="W1026" s="201"/>
      <c r="X1026" s="201"/>
      <c r="Y1026" s="201"/>
      <c r="Z1026" s="201"/>
    </row>
    <row r="1027" ht="15.75" customHeight="1">
      <c r="A1027" s="201"/>
      <c r="B1027" s="201"/>
      <c r="C1027" s="201"/>
      <c r="D1027" s="201"/>
      <c r="E1027" s="201"/>
      <c r="F1027" s="201"/>
      <c r="G1027" s="201"/>
      <c r="H1027" s="201"/>
      <c r="I1027" s="201"/>
      <c r="J1027" s="201"/>
      <c r="K1027" s="201"/>
      <c r="L1027" s="201"/>
      <c r="M1027" s="201"/>
      <c r="N1027" s="201"/>
      <c r="O1027" s="201"/>
      <c r="P1027" s="201"/>
      <c r="Q1027" s="201"/>
      <c r="R1027" s="201"/>
      <c r="S1027" s="201"/>
      <c r="T1027" s="201"/>
      <c r="U1027" s="201"/>
      <c r="V1027" s="201"/>
      <c r="W1027" s="201"/>
      <c r="X1027" s="201"/>
      <c r="Y1027" s="201"/>
      <c r="Z1027" s="201"/>
    </row>
    <row r="1028" ht="15.75" customHeight="1">
      <c r="A1028" s="201"/>
      <c r="B1028" s="201"/>
      <c r="C1028" s="201"/>
      <c r="D1028" s="201"/>
      <c r="E1028" s="201"/>
      <c r="F1028" s="201"/>
      <c r="G1028" s="201"/>
      <c r="H1028" s="201"/>
      <c r="I1028" s="201"/>
      <c r="J1028" s="201"/>
      <c r="K1028" s="201"/>
      <c r="L1028" s="201"/>
      <c r="M1028" s="201"/>
      <c r="N1028" s="201"/>
      <c r="O1028" s="201"/>
      <c r="P1028" s="201"/>
      <c r="Q1028" s="201"/>
      <c r="R1028" s="201"/>
      <c r="S1028" s="201"/>
      <c r="T1028" s="201"/>
      <c r="U1028" s="201"/>
      <c r="V1028" s="201"/>
      <c r="W1028" s="201"/>
      <c r="X1028" s="201"/>
      <c r="Y1028" s="201"/>
      <c r="Z1028" s="201"/>
    </row>
    <row r="1029" ht="15.75" customHeight="1">
      <c r="A1029" s="201"/>
      <c r="B1029" s="201"/>
      <c r="C1029" s="201"/>
      <c r="D1029" s="201"/>
      <c r="E1029" s="201"/>
      <c r="F1029" s="201"/>
      <c r="G1029" s="201"/>
      <c r="H1029" s="201"/>
      <c r="I1029" s="201"/>
      <c r="J1029" s="201"/>
      <c r="K1029" s="201"/>
      <c r="L1029" s="201"/>
      <c r="M1029" s="201"/>
      <c r="N1029" s="201"/>
      <c r="O1029" s="201"/>
      <c r="P1029" s="201"/>
      <c r="Q1029" s="201"/>
      <c r="R1029" s="201"/>
      <c r="S1029" s="201"/>
      <c r="T1029" s="201"/>
      <c r="U1029" s="201"/>
      <c r="V1029" s="201"/>
      <c r="W1029" s="201"/>
      <c r="X1029" s="201"/>
      <c r="Y1029" s="201"/>
      <c r="Z1029" s="201"/>
    </row>
    <row r="1030" ht="15.75" customHeight="1">
      <c r="A1030" s="201"/>
      <c r="B1030" s="201"/>
      <c r="C1030" s="201"/>
      <c r="D1030" s="201"/>
      <c r="E1030" s="201"/>
      <c r="F1030" s="201"/>
      <c r="G1030" s="201"/>
      <c r="H1030" s="201"/>
      <c r="I1030" s="201"/>
      <c r="J1030" s="201"/>
      <c r="K1030" s="201"/>
      <c r="L1030" s="201"/>
      <c r="M1030" s="201"/>
      <c r="N1030" s="201"/>
      <c r="O1030" s="201"/>
      <c r="P1030" s="201"/>
      <c r="Q1030" s="201"/>
      <c r="R1030" s="201"/>
      <c r="S1030" s="201"/>
      <c r="T1030" s="201"/>
      <c r="U1030" s="201"/>
      <c r="V1030" s="201"/>
      <c r="W1030" s="201"/>
      <c r="X1030" s="201"/>
      <c r="Y1030" s="201"/>
      <c r="Z1030" s="201"/>
    </row>
    <row r="1031" ht="15.75" customHeight="1">
      <c r="A1031" s="201"/>
      <c r="B1031" s="201"/>
      <c r="C1031" s="201"/>
      <c r="D1031" s="201"/>
      <c r="E1031" s="201"/>
      <c r="F1031" s="201"/>
      <c r="G1031" s="201"/>
      <c r="H1031" s="201"/>
      <c r="I1031" s="201"/>
      <c r="J1031" s="201"/>
      <c r="K1031" s="201"/>
      <c r="L1031" s="201"/>
      <c r="M1031" s="201"/>
      <c r="N1031" s="201"/>
      <c r="O1031" s="201"/>
      <c r="P1031" s="201"/>
      <c r="Q1031" s="201"/>
      <c r="R1031" s="201"/>
      <c r="S1031" s="201"/>
      <c r="T1031" s="201"/>
      <c r="U1031" s="201"/>
      <c r="V1031" s="201"/>
      <c r="W1031" s="201"/>
      <c r="X1031" s="201"/>
      <c r="Y1031" s="201"/>
      <c r="Z1031" s="201"/>
    </row>
    <row r="1032" ht="15.75" customHeight="1">
      <c r="A1032" s="201"/>
      <c r="B1032" s="201"/>
      <c r="C1032" s="201"/>
      <c r="D1032" s="201"/>
      <c r="E1032" s="201"/>
      <c r="F1032" s="201"/>
      <c r="G1032" s="201"/>
      <c r="H1032" s="201"/>
      <c r="I1032" s="201"/>
      <c r="J1032" s="201"/>
      <c r="K1032" s="201"/>
      <c r="L1032" s="201"/>
      <c r="M1032" s="201"/>
      <c r="N1032" s="201"/>
      <c r="O1032" s="201"/>
      <c r="P1032" s="201"/>
      <c r="Q1032" s="201"/>
      <c r="R1032" s="201"/>
      <c r="S1032" s="201"/>
      <c r="T1032" s="201"/>
      <c r="U1032" s="201"/>
      <c r="V1032" s="201"/>
      <c r="W1032" s="201"/>
      <c r="X1032" s="201"/>
      <c r="Y1032" s="201"/>
      <c r="Z1032" s="201"/>
    </row>
    <row r="1033" ht="15.75" customHeight="1">
      <c r="A1033" s="201"/>
      <c r="B1033" s="201"/>
      <c r="C1033" s="201"/>
      <c r="D1033" s="201"/>
      <c r="E1033" s="201"/>
      <c r="F1033" s="201"/>
      <c r="G1033" s="201"/>
      <c r="H1033" s="201"/>
      <c r="I1033" s="201"/>
      <c r="J1033" s="201"/>
      <c r="K1033" s="201"/>
      <c r="L1033" s="201"/>
      <c r="M1033" s="201"/>
      <c r="N1033" s="201"/>
      <c r="O1033" s="201"/>
      <c r="P1033" s="201"/>
      <c r="Q1033" s="201"/>
      <c r="R1033" s="201"/>
      <c r="S1033" s="201"/>
      <c r="T1033" s="201"/>
      <c r="U1033" s="201"/>
      <c r="V1033" s="201"/>
      <c r="W1033" s="201"/>
      <c r="X1033" s="201"/>
      <c r="Y1033" s="201"/>
      <c r="Z1033" s="201"/>
    </row>
    <row r="1034" ht="15.75" customHeight="1">
      <c r="A1034" s="201"/>
      <c r="B1034" s="201"/>
      <c r="C1034" s="201"/>
      <c r="D1034" s="201"/>
      <c r="E1034" s="201"/>
      <c r="F1034" s="201"/>
      <c r="G1034" s="201"/>
      <c r="H1034" s="201"/>
      <c r="I1034" s="201"/>
      <c r="J1034" s="201"/>
      <c r="K1034" s="201"/>
      <c r="L1034" s="201"/>
      <c r="M1034" s="201"/>
      <c r="N1034" s="201"/>
      <c r="O1034" s="201"/>
      <c r="P1034" s="201"/>
      <c r="Q1034" s="201"/>
      <c r="R1034" s="201"/>
      <c r="S1034" s="201"/>
      <c r="T1034" s="201"/>
      <c r="U1034" s="201"/>
      <c r="V1034" s="201"/>
      <c r="W1034" s="201"/>
      <c r="X1034" s="201"/>
      <c r="Y1034" s="201"/>
      <c r="Z1034" s="201"/>
    </row>
    <row r="1035" ht="15.75" customHeight="1">
      <c r="A1035" s="201"/>
      <c r="B1035" s="201"/>
      <c r="C1035" s="201"/>
      <c r="D1035" s="201"/>
      <c r="E1035" s="201"/>
      <c r="F1035" s="201"/>
      <c r="G1035" s="201"/>
      <c r="H1035" s="201"/>
      <c r="I1035" s="201"/>
      <c r="J1035" s="201"/>
      <c r="K1035" s="201"/>
      <c r="L1035" s="201"/>
      <c r="M1035" s="201"/>
      <c r="N1035" s="201"/>
      <c r="O1035" s="201"/>
      <c r="P1035" s="201"/>
      <c r="Q1035" s="201"/>
      <c r="R1035" s="201"/>
      <c r="S1035" s="201"/>
      <c r="T1035" s="201"/>
      <c r="U1035" s="201"/>
      <c r="V1035" s="201"/>
      <c r="W1035" s="201"/>
      <c r="X1035" s="201"/>
      <c r="Y1035" s="201"/>
      <c r="Z1035" s="201"/>
    </row>
    <row r="1036" ht="15.75" customHeight="1">
      <c r="A1036" s="201"/>
      <c r="B1036" s="201"/>
      <c r="C1036" s="201"/>
      <c r="D1036" s="201"/>
      <c r="E1036" s="201"/>
      <c r="F1036" s="201"/>
      <c r="G1036" s="201"/>
      <c r="H1036" s="201"/>
      <c r="I1036" s="201"/>
      <c r="J1036" s="201"/>
      <c r="K1036" s="201"/>
      <c r="L1036" s="201"/>
      <c r="M1036" s="201"/>
      <c r="N1036" s="201"/>
      <c r="O1036" s="201"/>
      <c r="P1036" s="201"/>
      <c r="Q1036" s="201"/>
      <c r="R1036" s="201"/>
      <c r="S1036" s="201"/>
      <c r="T1036" s="201"/>
      <c r="U1036" s="201"/>
      <c r="V1036" s="201"/>
      <c r="W1036" s="201"/>
      <c r="X1036" s="201"/>
      <c r="Y1036" s="201"/>
      <c r="Z1036" s="201"/>
    </row>
    <row r="1037" ht="15.75" customHeight="1">
      <c r="A1037" s="201"/>
      <c r="B1037" s="201"/>
      <c r="C1037" s="201"/>
      <c r="D1037" s="201"/>
      <c r="E1037" s="201"/>
      <c r="F1037" s="201"/>
      <c r="G1037" s="201"/>
      <c r="H1037" s="201"/>
      <c r="I1037" s="201"/>
      <c r="J1037" s="201"/>
      <c r="K1037" s="201"/>
      <c r="L1037" s="201"/>
      <c r="M1037" s="201"/>
      <c r="N1037" s="201"/>
      <c r="O1037" s="201"/>
      <c r="P1037" s="201"/>
      <c r="Q1037" s="201"/>
      <c r="R1037" s="201"/>
      <c r="S1037" s="201"/>
      <c r="T1037" s="201"/>
      <c r="U1037" s="201"/>
      <c r="V1037" s="201"/>
      <c r="W1037" s="201"/>
      <c r="X1037" s="201"/>
      <c r="Y1037" s="201"/>
      <c r="Z1037" s="201"/>
    </row>
    <row r="1038" ht="15.75" customHeight="1">
      <c r="A1038" s="201"/>
      <c r="B1038" s="201"/>
      <c r="C1038" s="201"/>
      <c r="D1038" s="201"/>
      <c r="E1038" s="201"/>
      <c r="F1038" s="201"/>
      <c r="G1038" s="201"/>
      <c r="H1038" s="201"/>
      <c r="I1038" s="201"/>
      <c r="J1038" s="201"/>
      <c r="K1038" s="201"/>
      <c r="L1038" s="201"/>
      <c r="M1038" s="201"/>
      <c r="N1038" s="201"/>
      <c r="O1038" s="201"/>
      <c r="P1038" s="201"/>
      <c r="Q1038" s="201"/>
      <c r="R1038" s="201"/>
      <c r="S1038" s="201"/>
      <c r="T1038" s="201"/>
      <c r="U1038" s="201"/>
      <c r="V1038" s="201"/>
      <c r="W1038" s="201"/>
      <c r="X1038" s="201"/>
      <c r="Y1038" s="201"/>
      <c r="Z1038" s="201"/>
    </row>
    <row r="1039" ht="15.75" customHeight="1">
      <c r="A1039" s="201"/>
      <c r="B1039" s="201"/>
      <c r="C1039" s="201"/>
      <c r="D1039" s="201"/>
      <c r="E1039" s="201"/>
      <c r="F1039" s="201"/>
      <c r="G1039" s="201"/>
      <c r="H1039" s="201"/>
      <c r="I1039" s="201"/>
      <c r="J1039" s="201"/>
      <c r="K1039" s="201"/>
      <c r="L1039" s="201"/>
      <c r="M1039" s="201"/>
      <c r="N1039" s="201"/>
      <c r="O1039" s="201"/>
      <c r="P1039" s="201"/>
      <c r="Q1039" s="201"/>
      <c r="R1039" s="201"/>
      <c r="S1039" s="201"/>
      <c r="T1039" s="201"/>
      <c r="U1039" s="201"/>
      <c r="V1039" s="201"/>
      <c r="W1039" s="201"/>
      <c r="X1039" s="201"/>
      <c r="Y1039" s="201"/>
      <c r="Z1039" s="201"/>
    </row>
    <row r="1040" ht="15.75" customHeight="1">
      <c r="A1040" s="201"/>
      <c r="B1040" s="201"/>
      <c r="C1040" s="201"/>
      <c r="D1040" s="201"/>
      <c r="E1040" s="201"/>
      <c r="F1040" s="201"/>
      <c r="G1040" s="201"/>
      <c r="H1040" s="201"/>
      <c r="I1040" s="201"/>
      <c r="J1040" s="201"/>
      <c r="K1040" s="201"/>
      <c r="L1040" s="201"/>
      <c r="M1040" s="201"/>
      <c r="N1040" s="201"/>
      <c r="O1040" s="201"/>
      <c r="P1040" s="201"/>
      <c r="Q1040" s="201"/>
      <c r="R1040" s="201"/>
      <c r="S1040" s="201"/>
      <c r="T1040" s="201"/>
      <c r="U1040" s="201"/>
      <c r="V1040" s="201"/>
      <c r="W1040" s="201"/>
      <c r="X1040" s="201"/>
      <c r="Y1040" s="201"/>
      <c r="Z1040" s="201"/>
    </row>
    <row r="1041" ht="15.75" customHeight="1">
      <c r="A1041" s="201"/>
      <c r="B1041" s="201"/>
      <c r="C1041" s="201"/>
      <c r="D1041" s="201"/>
      <c r="E1041" s="201"/>
      <c r="F1041" s="201"/>
      <c r="G1041" s="201"/>
      <c r="H1041" s="201"/>
      <c r="I1041" s="201"/>
      <c r="J1041" s="201"/>
      <c r="K1041" s="201"/>
      <c r="L1041" s="201"/>
      <c r="M1041" s="201"/>
      <c r="N1041" s="201"/>
      <c r="O1041" s="201"/>
      <c r="P1041" s="201"/>
      <c r="Q1041" s="201"/>
      <c r="R1041" s="201"/>
      <c r="S1041" s="201"/>
      <c r="T1041" s="201"/>
      <c r="U1041" s="201"/>
      <c r="V1041" s="201"/>
      <c r="W1041" s="201"/>
      <c r="X1041" s="201"/>
      <c r="Y1041" s="201"/>
      <c r="Z1041" s="201"/>
    </row>
    <row r="1042" ht="15.75" customHeight="1">
      <c r="A1042" s="201"/>
      <c r="B1042" s="201"/>
      <c r="C1042" s="201"/>
      <c r="D1042" s="201"/>
      <c r="E1042" s="201"/>
      <c r="F1042" s="201"/>
      <c r="G1042" s="201"/>
      <c r="H1042" s="201"/>
      <c r="I1042" s="201"/>
      <c r="J1042" s="201"/>
      <c r="K1042" s="201"/>
      <c r="L1042" s="201"/>
      <c r="M1042" s="201"/>
      <c r="N1042" s="201"/>
      <c r="O1042" s="201"/>
      <c r="P1042" s="201"/>
      <c r="Q1042" s="201"/>
      <c r="R1042" s="201"/>
      <c r="S1042" s="201"/>
      <c r="T1042" s="201"/>
      <c r="U1042" s="201"/>
      <c r="V1042" s="201"/>
      <c r="W1042" s="201"/>
      <c r="X1042" s="201"/>
      <c r="Y1042" s="201"/>
      <c r="Z1042" s="201"/>
    </row>
    <row r="1043" ht="15.75" customHeight="1">
      <c r="A1043" s="201"/>
      <c r="B1043" s="201"/>
      <c r="C1043" s="201"/>
      <c r="D1043" s="201"/>
      <c r="E1043" s="201"/>
      <c r="F1043" s="201"/>
      <c r="G1043" s="201"/>
      <c r="H1043" s="201"/>
      <c r="I1043" s="201"/>
      <c r="J1043" s="201"/>
      <c r="K1043" s="201"/>
      <c r="L1043" s="201"/>
      <c r="M1043" s="201"/>
      <c r="N1043" s="201"/>
      <c r="O1043" s="201"/>
      <c r="P1043" s="201"/>
      <c r="Q1043" s="201"/>
      <c r="R1043" s="201"/>
      <c r="S1043" s="201"/>
      <c r="T1043" s="201"/>
      <c r="U1043" s="201"/>
      <c r="V1043" s="201"/>
      <c r="W1043" s="201"/>
      <c r="X1043" s="201"/>
      <c r="Y1043" s="201"/>
      <c r="Z1043" s="201"/>
    </row>
    <row r="1044" ht="15.75" customHeight="1">
      <c r="A1044" s="201"/>
      <c r="B1044" s="201"/>
      <c r="C1044" s="201"/>
      <c r="D1044" s="201"/>
      <c r="E1044" s="201"/>
      <c r="F1044" s="201"/>
      <c r="G1044" s="201"/>
      <c r="H1044" s="201"/>
      <c r="I1044" s="201"/>
      <c r="J1044" s="201"/>
      <c r="K1044" s="201"/>
      <c r="L1044" s="201"/>
      <c r="M1044" s="201"/>
      <c r="N1044" s="201"/>
      <c r="O1044" s="201"/>
      <c r="P1044" s="201"/>
      <c r="Q1044" s="201"/>
      <c r="R1044" s="201"/>
      <c r="S1044" s="201"/>
      <c r="T1044" s="201"/>
      <c r="U1044" s="201"/>
      <c r="V1044" s="201"/>
      <c r="W1044" s="201"/>
      <c r="X1044" s="201"/>
      <c r="Y1044" s="201"/>
      <c r="Z1044" s="201"/>
    </row>
    <row r="1045" ht="15.75" customHeight="1">
      <c r="A1045" s="201"/>
      <c r="B1045" s="201"/>
      <c r="C1045" s="201"/>
      <c r="D1045" s="201"/>
      <c r="E1045" s="201"/>
      <c r="F1045" s="201"/>
      <c r="G1045" s="201"/>
      <c r="H1045" s="201"/>
      <c r="I1045" s="201"/>
      <c r="J1045" s="201"/>
      <c r="K1045" s="201"/>
      <c r="L1045" s="201"/>
      <c r="M1045" s="201"/>
      <c r="N1045" s="201"/>
      <c r="O1045" s="201"/>
      <c r="P1045" s="201"/>
      <c r="Q1045" s="201"/>
      <c r="R1045" s="201"/>
      <c r="S1045" s="201"/>
      <c r="T1045" s="201"/>
      <c r="U1045" s="201"/>
      <c r="V1045" s="201"/>
      <c r="W1045" s="201"/>
      <c r="X1045" s="201"/>
      <c r="Y1045" s="201"/>
      <c r="Z1045" s="201"/>
    </row>
    <row r="1046" ht="15.75" customHeight="1">
      <c r="A1046" s="201"/>
      <c r="B1046" s="201"/>
      <c r="C1046" s="201"/>
      <c r="D1046" s="201"/>
      <c r="E1046" s="201"/>
      <c r="F1046" s="201"/>
      <c r="G1046" s="201"/>
      <c r="H1046" s="201"/>
      <c r="I1046" s="201"/>
      <c r="J1046" s="201"/>
      <c r="K1046" s="201"/>
      <c r="L1046" s="201"/>
      <c r="M1046" s="201"/>
      <c r="N1046" s="201"/>
      <c r="O1046" s="201"/>
      <c r="P1046" s="201"/>
      <c r="Q1046" s="201"/>
      <c r="R1046" s="201"/>
      <c r="S1046" s="201"/>
      <c r="T1046" s="201"/>
      <c r="U1046" s="201"/>
      <c r="V1046" s="201"/>
      <c r="W1046" s="201"/>
      <c r="X1046" s="201"/>
      <c r="Y1046" s="201"/>
      <c r="Z1046" s="201"/>
    </row>
    <row r="1047" ht="15.75" customHeight="1">
      <c r="A1047" s="201"/>
      <c r="B1047" s="201"/>
      <c r="C1047" s="201"/>
      <c r="D1047" s="201"/>
      <c r="E1047" s="201"/>
      <c r="F1047" s="201"/>
      <c r="G1047" s="201"/>
      <c r="H1047" s="201"/>
      <c r="I1047" s="201"/>
      <c r="J1047" s="201"/>
      <c r="K1047" s="201"/>
      <c r="L1047" s="201"/>
      <c r="M1047" s="201"/>
      <c r="N1047" s="201"/>
      <c r="O1047" s="201"/>
      <c r="P1047" s="201"/>
      <c r="Q1047" s="201"/>
      <c r="R1047" s="201"/>
      <c r="S1047" s="201"/>
      <c r="T1047" s="201"/>
      <c r="U1047" s="201"/>
      <c r="V1047" s="201"/>
      <c r="W1047" s="201"/>
      <c r="X1047" s="201"/>
      <c r="Y1047" s="201"/>
      <c r="Z1047" s="201"/>
    </row>
    <row r="1048" ht="15.75" customHeight="1">
      <c r="A1048" s="201"/>
      <c r="B1048" s="201"/>
      <c r="C1048" s="201"/>
      <c r="D1048" s="201"/>
      <c r="E1048" s="201"/>
      <c r="F1048" s="201"/>
      <c r="G1048" s="201"/>
      <c r="H1048" s="201"/>
      <c r="I1048" s="201"/>
      <c r="J1048" s="201"/>
      <c r="K1048" s="201"/>
      <c r="L1048" s="201"/>
      <c r="M1048" s="201"/>
      <c r="N1048" s="201"/>
      <c r="O1048" s="201"/>
      <c r="P1048" s="201"/>
      <c r="Q1048" s="201"/>
      <c r="R1048" s="201"/>
      <c r="S1048" s="201"/>
      <c r="T1048" s="201"/>
      <c r="U1048" s="201"/>
      <c r="V1048" s="201"/>
      <c r="W1048" s="201"/>
      <c r="X1048" s="201"/>
      <c r="Y1048" s="201"/>
      <c r="Z1048" s="201"/>
    </row>
    <row r="1049" ht="15.75" customHeight="1">
      <c r="A1049" s="201"/>
      <c r="B1049" s="201"/>
      <c r="C1049" s="201"/>
      <c r="D1049" s="201"/>
      <c r="E1049" s="201"/>
      <c r="F1049" s="201"/>
      <c r="G1049" s="201"/>
      <c r="H1049" s="201"/>
      <c r="I1049" s="201"/>
      <c r="J1049" s="201"/>
      <c r="K1049" s="201"/>
      <c r="L1049" s="201"/>
      <c r="M1049" s="201"/>
      <c r="N1049" s="201"/>
      <c r="O1049" s="201"/>
      <c r="P1049" s="201"/>
      <c r="Q1049" s="201"/>
      <c r="R1049" s="201"/>
      <c r="S1049" s="201"/>
      <c r="T1049" s="201"/>
      <c r="U1049" s="201"/>
      <c r="V1049" s="201"/>
      <c r="W1049" s="201"/>
      <c r="X1049" s="201"/>
      <c r="Y1049" s="201"/>
      <c r="Z1049" s="201"/>
    </row>
    <row r="1050" ht="15.75" customHeight="1">
      <c r="A1050" s="201"/>
      <c r="B1050" s="201"/>
      <c r="C1050" s="201"/>
      <c r="D1050" s="201"/>
      <c r="E1050" s="201"/>
      <c r="F1050" s="201"/>
      <c r="G1050" s="201"/>
      <c r="H1050" s="201"/>
      <c r="I1050" s="201"/>
      <c r="J1050" s="201"/>
      <c r="K1050" s="201"/>
      <c r="L1050" s="201"/>
      <c r="M1050" s="201"/>
      <c r="N1050" s="201"/>
      <c r="O1050" s="201"/>
      <c r="P1050" s="201"/>
      <c r="Q1050" s="201"/>
      <c r="R1050" s="201"/>
      <c r="S1050" s="201"/>
      <c r="T1050" s="201"/>
      <c r="U1050" s="201"/>
      <c r="V1050" s="201"/>
      <c r="W1050" s="201"/>
      <c r="X1050" s="201"/>
      <c r="Y1050" s="201"/>
      <c r="Z1050" s="201"/>
    </row>
    <row r="1051" ht="15.75" customHeight="1">
      <c r="A1051" s="201"/>
      <c r="B1051" s="201"/>
      <c r="C1051" s="201"/>
      <c r="D1051" s="201"/>
      <c r="E1051" s="201"/>
      <c r="F1051" s="201"/>
      <c r="G1051" s="201"/>
      <c r="H1051" s="201"/>
      <c r="I1051" s="201"/>
      <c r="J1051" s="201"/>
      <c r="K1051" s="201"/>
      <c r="L1051" s="201"/>
      <c r="M1051" s="201"/>
      <c r="N1051" s="201"/>
      <c r="O1051" s="201"/>
      <c r="P1051" s="201"/>
      <c r="Q1051" s="201"/>
      <c r="R1051" s="201"/>
      <c r="S1051" s="201"/>
      <c r="T1051" s="201"/>
      <c r="U1051" s="201"/>
      <c r="V1051" s="201"/>
      <c r="W1051" s="201"/>
      <c r="X1051" s="201"/>
      <c r="Y1051" s="201"/>
      <c r="Z1051" s="201"/>
    </row>
    <row r="1052" ht="15.75" customHeight="1">
      <c r="A1052" s="201"/>
      <c r="B1052" s="201"/>
      <c r="C1052" s="201"/>
      <c r="D1052" s="201"/>
      <c r="E1052" s="201"/>
      <c r="F1052" s="201"/>
      <c r="G1052" s="201"/>
      <c r="H1052" s="201"/>
      <c r="I1052" s="201"/>
      <c r="J1052" s="201"/>
      <c r="K1052" s="201"/>
      <c r="L1052" s="201"/>
      <c r="M1052" s="201"/>
      <c r="N1052" s="201"/>
      <c r="O1052" s="201"/>
      <c r="P1052" s="201"/>
      <c r="Q1052" s="201"/>
      <c r="R1052" s="201"/>
      <c r="S1052" s="201"/>
      <c r="T1052" s="201"/>
      <c r="U1052" s="201"/>
      <c r="V1052" s="201"/>
      <c r="W1052" s="201"/>
      <c r="X1052" s="201"/>
      <c r="Y1052" s="201"/>
      <c r="Z1052" s="201"/>
    </row>
    <row r="1053" ht="15.75" customHeight="1">
      <c r="A1053" s="201"/>
      <c r="B1053" s="201"/>
      <c r="C1053" s="201"/>
      <c r="D1053" s="201"/>
      <c r="E1053" s="201"/>
      <c r="F1053" s="201"/>
      <c r="G1053" s="201"/>
      <c r="H1053" s="201"/>
      <c r="I1053" s="201"/>
      <c r="J1053" s="201"/>
      <c r="K1053" s="201"/>
      <c r="L1053" s="201"/>
      <c r="M1053" s="201"/>
      <c r="N1053" s="201"/>
      <c r="O1053" s="201"/>
      <c r="P1053" s="201"/>
      <c r="Q1053" s="201"/>
      <c r="R1053" s="201"/>
      <c r="S1053" s="201"/>
      <c r="T1053" s="201"/>
      <c r="U1053" s="201"/>
      <c r="V1053" s="201"/>
      <c r="W1053" s="201"/>
      <c r="X1053" s="201"/>
      <c r="Y1053" s="201"/>
      <c r="Z1053" s="201"/>
    </row>
    <row r="1054" ht="15.75" customHeight="1">
      <c r="A1054" s="201"/>
      <c r="B1054" s="201"/>
      <c r="C1054" s="201"/>
      <c r="D1054" s="201"/>
      <c r="E1054" s="201"/>
      <c r="F1054" s="201"/>
      <c r="G1054" s="201"/>
      <c r="H1054" s="201"/>
      <c r="I1054" s="201"/>
      <c r="J1054" s="201"/>
      <c r="K1054" s="201"/>
      <c r="L1054" s="201"/>
      <c r="M1054" s="201"/>
      <c r="N1054" s="201"/>
      <c r="O1054" s="201"/>
      <c r="P1054" s="201"/>
      <c r="Q1054" s="201"/>
      <c r="R1054" s="201"/>
      <c r="S1054" s="201"/>
      <c r="T1054" s="201"/>
      <c r="U1054" s="201"/>
      <c r="V1054" s="201"/>
      <c r="W1054" s="201"/>
      <c r="X1054" s="201"/>
      <c r="Y1054" s="201"/>
      <c r="Z1054" s="201"/>
    </row>
    <row r="1055" ht="15.75" customHeight="1">
      <c r="A1055" s="201"/>
      <c r="B1055" s="201"/>
      <c r="C1055" s="201"/>
      <c r="D1055" s="201"/>
      <c r="E1055" s="201"/>
      <c r="F1055" s="201"/>
      <c r="G1055" s="201"/>
      <c r="H1055" s="201"/>
      <c r="I1055" s="201"/>
      <c r="J1055" s="201"/>
      <c r="K1055" s="201"/>
      <c r="L1055" s="201"/>
      <c r="M1055" s="201"/>
      <c r="N1055" s="201"/>
      <c r="O1055" s="201"/>
      <c r="P1055" s="201"/>
      <c r="Q1055" s="201"/>
      <c r="R1055" s="201"/>
      <c r="S1055" s="201"/>
      <c r="T1055" s="201"/>
      <c r="U1055" s="201"/>
      <c r="V1055" s="201"/>
      <c r="W1055" s="201"/>
      <c r="X1055" s="201"/>
      <c r="Y1055" s="201"/>
      <c r="Z1055" s="201"/>
    </row>
    <row r="1056" ht="15.75" customHeight="1">
      <c r="A1056" s="201"/>
      <c r="B1056" s="201"/>
      <c r="C1056" s="201"/>
      <c r="D1056" s="201"/>
      <c r="E1056" s="201"/>
      <c r="F1056" s="201"/>
      <c r="G1056" s="201"/>
      <c r="H1056" s="201"/>
      <c r="I1056" s="201"/>
      <c r="J1056" s="201"/>
      <c r="K1056" s="201"/>
      <c r="L1056" s="201"/>
      <c r="M1056" s="201"/>
      <c r="N1056" s="201"/>
      <c r="O1056" s="201"/>
      <c r="P1056" s="201"/>
      <c r="Q1056" s="201"/>
      <c r="R1056" s="201"/>
      <c r="S1056" s="201"/>
      <c r="T1056" s="201"/>
      <c r="U1056" s="201"/>
      <c r="V1056" s="201"/>
      <c r="W1056" s="201"/>
      <c r="X1056" s="201"/>
      <c r="Y1056" s="201"/>
      <c r="Z1056" s="201"/>
    </row>
  </sheetData>
  <mergeCells count="28">
    <mergeCell ref="A1:C1"/>
    <mergeCell ref="F1:G1"/>
    <mergeCell ref="A3:A14"/>
    <mergeCell ref="B3:B14"/>
    <mergeCell ref="A15:A24"/>
    <mergeCell ref="B15:B24"/>
    <mergeCell ref="B25:B29"/>
    <mergeCell ref="A25:A29"/>
    <mergeCell ref="A30:A38"/>
    <mergeCell ref="B30:B38"/>
    <mergeCell ref="A39:A47"/>
    <mergeCell ref="B39:B47"/>
    <mergeCell ref="A48:A53"/>
    <mergeCell ref="B48:B53"/>
    <mergeCell ref="A96:A97"/>
    <mergeCell ref="A98:A99"/>
    <mergeCell ref="A100:A102"/>
    <mergeCell ref="A105:A138"/>
    <mergeCell ref="B98:B99"/>
    <mergeCell ref="B100:B102"/>
    <mergeCell ref="B105:B138"/>
    <mergeCell ref="A54:A67"/>
    <mergeCell ref="B54:B67"/>
    <mergeCell ref="A70:A88"/>
    <mergeCell ref="B70:B88"/>
    <mergeCell ref="A89:A94"/>
    <mergeCell ref="B89:B94"/>
    <mergeCell ref="B96:B9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9.63"/>
  </cols>
  <sheetData>
    <row r="1">
      <c r="A1" s="150" t="s">
        <v>538</v>
      </c>
    </row>
    <row r="2">
      <c r="A2" s="150" t="s">
        <v>539</v>
      </c>
    </row>
    <row r="3">
      <c r="A3" s="150" t="s">
        <v>540</v>
      </c>
    </row>
    <row r="4">
      <c r="A4" s="150" t="s">
        <v>541</v>
      </c>
    </row>
    <row r="5">
      <c r="A5" s="150" t="s">
        <v>542</v>
      </c>
    </row>
    <row r="6">
      <c r="A6" s="150" t="s">
        <v>543</v>
      </c>
    </row>
    <row r="7">
      <c r="A7" s="150" t="s">
        <v>544</v>
      </c>
    </row>
    <row r="8">
      <c r="A8" s="144" t="s">
        <v>545</v>
      </c>
    </row>
    <row r="9">
      <c r="A9" s="144" t="s">
        <v>546</v>
      </c>
    </row>
    <row r="10">
      <c r="A10" s="144" t="s">
        <v>547</v>
      </c>
    </row>
    <row r="11">
      <c r="A11" s="150" t="s">
        <v>548</v>
      </c>
    </row>
    <row r="12">
      <c r="A12" s="144" t="s">
        <v>549</v>
      </c>
    </row>
    <row r="13">
      <c r="A13" s="144" t="s">
        <v>550</v>
      </c>
    </row>
    <row r="14">
      <c r="A14" s="144" t="s">
        <v>551</v>
      </c>
    </row>
    <row r="15">
      <c r="A15" s="239" t="s">
        <v>552</v>
      </c>
    </row>
    <row r="16">
      <c r="A16" s="144" t="s">
        <v>553</v>
      </c>
    </row>
    <row r="17">
      <c r="A17" s="150" t="s">
        <v>554</v>
      </c>
    </row>
    <row r="18">
      <c r="A18" s="150" t="s">
        <v>555</v>
      </c>
    </row>
    <row r="19">
      <c r="A19" s="144" t="s">
        <v>556</v>
      </c>
    </row>
    <row r="20">
      <c r="A20" s="150" t="s">
        <v>557</v>
      </c>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40" t="s">
        <v>558</v>
      </c>
      <c r="H1" s="140" t="s">
        <v>559</v>
      </c>
    </row>
    <row r="2">
      <c r="B2" s="140" t="s">
        <v>560</v>
      </c>
      <c r="H2" s="144" t="s">
        <v>561</v>
      </c>
    </row>
    <row r="3">
      <c r="B3" s="140" t="s">
        <v>562</v>
      </c>
    </row>
    <row r="6">
      <c r="A6" s="240" t="s">
        <v>563</v>
      </c>
    </row>
    <row r="7">
      <c r="B7" s="140" t="s">
        <v>564</v>
      </c>
    </row>
    <row r="12">
      <c r="A12" s="240" t="s">
        <v>565</v>
      </c>
    </row>
    <row r="18">
      <c r="A18" s="240" t="s">
        <v>566</v>
      </c>
    </row>
    <row r="19">
      <c r="B19" s="140" t="s">
        <v>567</v>
      </c>
    </row>
    <row r="23">
      <c r="A23" s="240" t="s">
        <v>568</v>
      </c>
    </row>
    <row r="24">
      <c r="B24" s="144" t="s">
        <v>569</v>
      </c>
    </row>
    <row r="25">
      <c r="B25" s="140" t="s">
        <v>570</v>
      </c>
    </row>
    <row r="26">
      <c r="B26" s="144" t="s">
        <v>571</v>
      </c>
    </row>
    <row r="28">
      <c r="B28" s="140" t="s">
        <v>572</v>
      </c>
    </row>
    <row r="29">
      <c r="B29" s="144" t="s">
        <v>573</v>
      </c>
    </row>
    <row r="33">
      <c r="A33" s="140" t="s">
        <v>574</v>
      </c>
    </row>
    <row r="34">
      <c r="A34" s="144" t="s">
        <v>575</v>
      </c>
    </row>
    <row r="37">
      <c r="A37" s="150" t="s">
        <v>576</v>
      </c>
    </row>
    <row r="38">
      <c r="A38" s="241" t="s">
        <v>577</v>
      </c>
      <c r="B38" s="241">
        <v>1978.0</v>
      </c>
      <c r="C38" s="241">
        <v>1979.0</v>
      </c>
      <c r="D38" s="241">
        <v>1980.0</v>
      </c>
      <c r="E38" s="241">
        <v>1981.0</v>
      </c>
      <c r="F38" s="241">
        <v>1982.0</v>
      </c>
      <c r="G38" s="241">
        <v>1983.0</v>
      </c>
      <c r="H38" s="241">
        <v>1984.0</v>
      </c>
      <c r="I38" s="241">
        <v>1985.0</v>
      </c>
      <c r="J38" s="241">
        <v>1986.0</v>
      </c>
      <c r="K38" s="241">
        <v>1987.0</v>
      </c>
      <c r="L38" s="241">
        <v>1988.0</v>
      </c>
      <c r="M38" s="241">
        <v>1989.0</v>
      </c>
      <c r="N38" s="241">
        <v>1990.0</v>
      </c>
      <c r="O38" s="241">
        <v>1991.0</v>
      </c>
      <c r="P38" s="241">
        <v>1992.0</v>
      </c>
      <c r="Q38" s="241">
        <v>1993.0</v>
      </c>
      <c r="R38" s="241">
        <v>1994.0</v>
      </c>
      <c r="S38" s="241">
        <v>1995.0</v>
      </c>
      <c r="T38" s="241">
        <v>1996.0</v>
      </c>
      <c r="U38" s="241">
        <v>1997.0</v>
      </c>
      <c r="V38" s="241">
        <v>1998.0</v>
      </c>
      <c r="W38" s="241">
        <v>1999.0</v>
      </c>
      <c r="X38" s="241">
        <v>2000.0</v>
      </c>
      <c r="Y38" s="241">
        <v>2001.0</v>
      </c>
      <c r="Z38" s="241">
        <v>2002.0</v>
      </c>
      <c r="AA38" s="241">
        <v>2003.0</v>
      </c>
      <c r="AB38" s="241">
        <v>2004.0</v>
      </c>
      <c r="AC38" s="241">
        <v>2005.0</v>
      </c>
      <c r="AD38" s="241">
        <v>2006.0</v>
      </c>
      <c r="AE38" s="241">
        <v>2007.0</v>
      </c>
      <c r="AF38" s="241">
        <v>2008.0</v>
      </c>
      <c r="AG38" s="241">
        <v>2009.0</v>
      </c>
      <c r="AH38" s="241">
        <v>2010.0</v>
      </c>
      <c r="AI38" s="241">
        <v>2011.0</v>
      </c>
      <c r="AJ38" s="241">
        <v>2012.0</v>
      </c>
      <c r="AK38" s="241">
        <v>2013.0</v>
      </c>
      <c r="AL38" s="241">
        <v>2014.0</v>
      </c>
      <c r="AM38" s="241">
        <v>2015.0</v>
      </c>
      <c r="AN38" s="241">
        <v>2016.0</v>
      </c>
      <c r="AO38" s="241">
        <v>2017.0</v>
      </c>
      <c r="AP38" s="241">
        <v>2018.0</v>
      </c>
      <c r="AQ38" s="241">
        <v>2019.0</v>
      </c>
      <c r="AR38" s="241"/>
      <c r="AS38" s="241"/>
      <c r="AT38" s="241"/>
      <c r="AU38" s="241"/>
      <c r="AV38" s="241"/>
      <c r="AW38" s="241"/>
      <c r="AX38" s="241"/>
      <c r="AY38" s="241"/>
      <c r="AZ38" s="241"/>
      <c r="BA38" s="241"/>
    </row>
    <row r="39">
      <c r="A39" s="242" t="s">
        <v>578</v>
      </c>
      <c r="B39" s="243">
        <v>20459.0</v>
      </c>
      <c r="C39" s="243">
        <v>20856.0</v>
      </c>
      <c r="D39" s="243">
        <v>21815.0</v>
      </c>
      <c r="E39" s="243">
        <v>25494.0</v>
      </c>
      <c r="F39" s="243">
        <v>27945.0</v>
      </c>
      <c r="G39" s="243">
        <v>30510.0</v>
      </c>
      <c r="H39" s="243">
        <v>33109.0</v>
      </c>
      <c r="I39" s="243">
        <v>34507.0</v>
      </c>
      <c r="J39" s="243">
        <v>38449.0</v>
      </c>
      <c r="K39" s="243">
        <v>40842.0</v>
      </c>
      <c r="L39" s="243">
        <v>44560.0</v>
      </c>
      <c r="M39" s="243">
        <v>51232.0</v>
      </c>
      <c r="N39" s="243">
        <v>54895.0</v>
      </c>
      <c r="O39" s="243">
        <v>57862.0</v>
      </c>
      <c r="P39" s="243">
        <v>61736.0</v>
      </c>
      <c r="Q39" s="243">
        <v>64569.0</v>
      </c>
      <c r="R39" s="243">
        <v>66750.0</v>
      </c>
      <c r="S39" s="243">
        <v>68486.0</v>
      </c>
      <c r="T39" s="243">
        <v>69709.0</v>
      </c>
      <c r="U39" s="243">
        <v>69108.0</v>
      </c>
      <c r="V39" s="243">
        <v>72289.0</v>
      </c>
      <c r="W39" s="243">
        <v>72899.0</v>
      </c>
      <c r="X39" s="243">
        <v>70199.0</v>
      </c>
      <c r="Y39" s="243">
        <v>67533.0</v>
      </c>
      <c r="Z39" s="243">
        <v>67065.0</v>
      </c>
      <c r="AA39" s="243">
        <v>65198.0</v>
      </c>
      <c r="AB39" s="243">
        <v>63751.0</v>
      </c>
      <c r="AC39" s="243">
        <v>62743.0</v>
      </c>
      <c r="AD39" s="243">
        <v>63315.0</v>
      </c>
      <c r="AE39" s="243">
        <v>62620.0</v>
      </c>
      <c r="AF39" s="243">
        <v>60347.0</v>
      </c>
      <c r="AG39" s="243">
        <v>58687.0</v>
      </c>
      <c r="AH39" s="243">
        <v>56656.0</v>
      </c>
      <c r="AI39" s="243">
        <v>55436.0</v>
      </c>
      <c r="AJ39" s="243">
        <v>54210.0</v>
      </c>
      <c r="AK39" s="243">
        <v>53550.0</v>
      </c>
      <c r="AL39" s="243">
        <v>52518.0</v>
      </c>
      <c r="AM39" s="243">
        <v>51727.0</v>
      </c>
      <c r="AN39" s="243">
        <v>50716.0</v>
      </c>
      <c r="AO39" s="243">
        <v>49461.0</v>
      </c>
      <c r="AP39" s="243">
        <v>46636.0</v>
      </c>
      <c r="AQ39" s="243">
        <v>43500.0</v>
      </c>
      <c r="AR39" s="243"/>
      <c r="AS39" s="243"/>
      <c r="AT39" s="243"/>
      <c r="AU39" s="243"/>
      <c r="AV39" s="243"/>
      <c r="AW39" s="243"/>
      <c r="AX39" s="243"/>
      <c r="AY39" s="243"/>
      <c r="AZ39" s="243"/>
      <c r="BA39" s="243"/>
    </row>
    <row r="42">
      <c r="A42" s="140" t="s">
        <v>579</v>
      </c>
    </row>
    <row r="43">
      <c r="A43" s="241" t="s">
        <v>577</v>
      </c>
      <c r="B43" s="241">
        <v>1963.0</v>
      </c>
      <c r="C43" s="241">
        <v>1966.0</v>
      </c>
      <c r="D43" s="241">
        <v>1970.0</v>
      </c>
      <c r="E43" s="241">
        <v>1971.0</v>
      </c>
      <c r="F43" s="241">
        <v>1972.0</v>
      </c>
      <c r="G43" s="241">
        <v>1973.0</v>
      </c>
      <c r="H43" s="241">
        <v>1974.0</v>
      </c>
      <c r="I43" s="241">
        <v>1975.0</v>
      </c>
      <c r="J43" s="241">
        <v>1976.0</v>
      </c>
      <c r="K43" s="241">
        <v>1977.0</v>
      </c>
      <c r="L43" s="241">
        <v>1978.0</v>
      </c>
      <c r="M43" s="241">
        <v>1979.0</v>
      </c>
      <c r="N43" s="241">
        <v>1980.0</v>
      </c>
      <c r="O43" s="241">
        <v>1981.0</v>
      </c>
      <c r="P43" s="241">
        <v>1982.0</v>
      </c>
      <c r="Q43" s="241">
        <v>1983.0</v>
      </c>
      <c r="R43" s="241">
        <v>1984.0</v>
      </c>
      <c r="S43" s="241">
        <v>1985.0</v>
      </c>
      <c r="T43" s="241">
        <v>1986.0</v>
      </c>
      <c r="U43" s="241">
        <v>1987.0</v>
      </c>
      <c r="V43" s="241">
        <v>1988.0</v>
      </c>
      <c r="W43" s="241">
        <v>1989.0</v>
      </c>
      <c r="X43" s="241">
        <v>1990.0</v>
      </c>
      <c r="Y43" s="241">
        <v>1991.0</v>
      </c>
      <c r="Z43" s="241">
        <v>1992.0</v>
      </c>
      <c r="AA43" s="241">
        <v>1993.0</v>
      </c>
      <c r="AB43" s="241">
        <v>1994.0</v>
      </c>
      <c r="AC43" s="241">
        <v>1995.0</v>
      </c>
      <c r="AD43" s="241">
        <v>1996.0</v>
      </c>
      <c r="AE43" s="241">
        <v>1997.0</v>
      </c>
      <c r="AF43" s="241">
        <v>1998.0</v>
      </c>
      <c r="AG43" s="241">
        <v>1999.0</v>
      </c>
      <c r="AH43" s="241">
        <v>2000.0</v>
      </c>
      <c r="AI43" s="241">
        <v>2001.0</v>
      </c>
      <c r="AJ43" s="241">
        <v>2002.0</v>
      </c>
      <c r="AK43" s="241">
        <v>2003.0</v>
      </c>
      <c r="AL43" s="241">
        <v>2004.0</v>
      </c>
      <c r="AM43" s="241">
        <v>2005.0</v>
      </c>
      <c r="AN43" s="241">
        <v>2006.0</v>
      </c>
      <c r="AO43" s="241">
        <v>2007.0</v>
      </c>
      <c r="AP43" s="241">
        <v>2008.0</v>
      </c>
      <c r="AQ43" s="241">
        <v>2009.0</v>
      </c>
      <c r="AR43" s="241">
        <v>2010.0</v>
      </c>
      <c r="AS43" s="241">
        <v>2011.0</v>
      </c>
      <c r="AT43" s="241">
        <v>2012.0</v>
      </c>
      <c r="AU43" s="241">
        <v>2013.0</v>
      </c>
      <c r="AV43" s="241">
        <v>2014.0</v>
      </c>
      <c r="AW43" s="241">
        <v>2015.0</v>
      </c>
      <c r="AX43" s="241">
        <v>2016.0</v>
      </c>
      <c r="AY43" s="241">
        <v>2017.0</v>
      </c>
      <c r="AZ43" s="241">
        <v>2018.0</v>
      </c>
      <c r="BA43" s="241">
        <v>2019.0</v>
      </c>
    </row>
    <row r="44">
      <c r="A44" s="242" t="s">
        <v>578</v>
      </c>
      <c r="B44" s="242" t="s">
        <v>415</v>
      </c>
      <c r="C44" s="242" t="s">
        <v>415</v>
      </c>
      <c r="D44" s="242" t="s">
        <v>415</v>
      </c>
      <c r="E44" s="242" t="s">
        <v>415</v>
      </c>
      <c r="F44" s="242" t="s">
        <v>415</v>
      </c>
      <c r="G44" s="242" t="s">
        <v>415</v>
      </c>
      <c r="H44" s="242" t="s">
        <v>415</v>
      </c>
      <c r="I44" s="242" t="s">
        <v>415</v>
      </c>
      <c r="J44" s="242" t="s">
        <v>415</v>
      </c>
      <c r="K44" s="243">
        <v>11.0</v>
      </c>
      <c r="L44" s="243">
        <v>14.0</v>
      </c>
      <c r="M44" s="242" t="s">
        <v>415</v>
      </c>
      <c r="N44" s="243">
        <v>25.0</v>
      </c>
      <c r="O44" s="243">
        <v>48.0</v>
      </c>
      <c r="P44" s="243">
        <v>33.0</v>
      </c>
      <c r="Q44" s="243">
        <v>46.0</v>
      </c>
      <c r="R44" s="243">
        <v>45.0</v>
      </c>
      <c r="S44" s="243">
        <v>58.0</v>
      </c>
      <c r="T44" s="243">
        <v>63.0</v>
      </c>
      <c r="U44" s="243">
        <v>53.0</v>
      </c>
      <c r="V44" s="243">
        <v>68.0</v>
      </c>
      <c r="W44" s="243">
        <v>75.0</v>
      </c>
      <c r="X44" s="243">
        <v>81.0</v>
      </c>
      <c r="Y44" s="243">
        <v>115.0</v>
      </c>
      <c r="Z44" s="243">
        <v>115.0</v>
      </c>
      <c r="AA44" s="243">
        <v>166.0</v>
      </c>
      <c r="AB44" s="243">
        <v>182.0</v>
      </c>
      <c r="AC44" s="243">
        <v>248.0</v>
      </c>
      <c r="AD44" s="243">
        <v>272.0</v>
      </c>
      <c r="AE44" s="243">
        <v>302.0</v>
      </c>
      <c r="AF44" s="243">
        <v>273.0</v>
      </c>
      <c r="AG44" s="243">
        <v>288.0</v>
      </c>
      <c r="AH44" s="243">
        <v>334.0</v>
      </c>
      <c r="AI44" s="243">
        <v>342.0</v>
      </c>
      <c r="AJ44" s="243">
        <v>398.0</v>
      </c>
      <c r="AK44" s="243">
        <v>429.0</v>
      </c>
      <c r="AL44" s="243">
        <v>473.0</v>
      </c>
      <c r="AM44" s="243">
        <v>483.0</v>
      </c>
      <c r="AN44" s="243">
        <v>506.0</v>
      </c>
      <c r="AO44" s="243">
        <v>580.0</v>
      </c>
      <c r="AP44" s="243">
        <v>620.0</v>
      </c>
      <c r="AQ44" s="243">
        <v>666.0</v>
      </c>
      <c r="AR44" s="243">
        <v>857.0</v>
      </c>
      <c r="AS44" s="243">
        <v>885.0</v>
      </c>
      <c r="AT44" s="243">
        <v>1124.0</v>
      </c>
      <c r="AU44" s="243">
        <v>1331.0</v>
      </c>
      <c r="AV44" s="243">
        <v>1690.0</v>
      </c>
      <c r="AW44" s="243">
        <v>2199.0</v>
      </c>
      <c r="AX44" s="243">
        <v>3263.0</v>
      </c>
      <c r="AY44" s="243">
        <v>4887.0</v>
      </c>
      <c r="AZ44" s="243">
        <v>7240.0</v>
      </c>
      <c r="BA44" s="243">
        <v>12568.0</v>
      </c>
    </row>
    <row r="54">
      <c r="A54" s="140" t="s">
        <v>580</v>
      </c>
    </row>
    <row r="55">
      <c r="A55" s="140" t="s">
        <v>581</v>
      </c>
    </row>
    <row r="56">
      <c r="A56" s="144" t="s">
        <v>582</v>
      </c>
    </row>
    <row r="57">
      <c r="B57" s="241" t="s">
        <v>583</v>
      </c>
      <c r="C57" s="241" t="s">
        <v>584</v>
      </c>
      <c r="D57" s="241" t="s">
        <v>585</v>
      </c>
      <c r="E57" s="241" t="s">
        <v>586</v>
      </c>
      <c r="F57" s="241" t="s">
        <v>587</v>
      </c>
    </row>
    <row r="58">
      <c r="A58" s="140" t="s">
        <v>588</v>
      </c>
      <c r="B58" s="243">
        <v>1965.0</v>
      </c>
      <c r="C58" s="243">
        <v>7836.0</v>
      </c>
      <c r="D58" s="243">
        <v>5456.0</v>
      </c>
      <c r="E58" s="243">
        <v>3456.0</v>
      </c>
      <c r="F58" s="243">
        <v>2190.0</v>
      </c>
    </row>
    <row r="59">
      <c r="A59" s="140" t="s">
        <v>589</v>
      </c>
      <c r="B59" s="243">
        <v>3681.0</v>
      </c>
      <c r="C59" s="243">
        <v>7930.0</v>
      </c>
      <c r="D59" s="243">
        <v>4938.0</v>
      </c>
      <c r="E59" s="243">
        <v>2973.0</v>
      </c>
      <c r="F59" s="243">
        <v>1383.0</v>
      </c>
    </row>
    <row r="66">
      <c r="A66" s="140" t="s">
        <v>590</v>
      </c>
    </row>
    <row r="67">
      <c r="A67" s="144" t="s">
        <v>591</v>
      </c>
    </row>
    <row r="68">
      <c r="C68" s="140">
        <v>1925.0</v>
      </c>
    </row>
    <row r="69">
      <c r="A69" s="140" t="s">
        <v>592</v>
      </c>
      <c r="B69" s="140" t="s">
        <v>593</v>
      </c>
      <c r="C69" s="244">
        <v>12067.0</v>
      </c>
      <c r="D69" s="244">
        <v>15409.0</v>
      </c>
      <c r="E69" s="244">
        <v>15353.0</v>
      </c>
      <c r="F69" s="244">
        <v>15883.0</v>
      </c>
      <c r="G69" s="244">
        <v>14397.0</v>
      </c>
      <c r="H69" s="244">
        <v>13399.0</v>
      </c>
      <c r="I69" s="244">
        <v>13221.0</v>
      </c>
    </row>
    <row r="71">
      <c r="B71" s="140">
        <v>1925.0</v>
      </c>
      <c r="C71" s="244">
        <v>6820.0</v>
      </c>
    </row>
    <row r="72">
      <c r="B72" s="245">
        <f t="shared" ref="B72:B165" si="1">B71+1</f>
        <v>1926</v>
      </c>
      <c r="C72" s="244">
        <v>7367.0</v>
      </c>
    </row>
    <row r="73">
      <c r="B73" s="245">
        <f t="shared" si="1"/>
        <v>1927</v>
      </c>
      <c r="C73" s="244">
        <v>7583.0</v>
      </c>
    </row>
    <row r="74">
      <c r="B74" s="245">
        <f t="shared" si="1"/>
        <v>1928</v>
      </c>
      <c r="C74" s="244">
        <v>7819.0</v>
      </c>
    </row>
    <row r="75">
      <c r="B75" s="245">
        <f t="shared" si="1"/>
        <v>1929</v>
      </c>
      <c r="C75" s="244">
        <v>8135.0</v>
      </c>
    </row>
    <row r="76">
      <c r="B76" s="245">
        <f t="shared" si="1"/>
        <v>1930</v>
      </c>
      <c r="C76" s="244">
        <v>8856.0</v>
      </c>
    </row>
    <row r="77">
      <c r="B77" s="245">
        <f t="shared" si="1"/>
        <v>1931</v>
      </c>
      <c r="C77" s="244">
        <v>9089.0</v>
      </c>
    </row>
    <row r="78">
      <c r="B78" s="245">
        <f t="shared" si="1"/>
        <v>1932</v>
      </c>
      <c r="C78" s="244">
        <v>9613.0</v>
      </c>
    </row>
    <row r="79">
      <c r="B79" s="245">
        <f t="shared" si="1"/>
        <v>1933</v>
      </c>
      <c r="C79" s="244">
        <v>9807.0</v>
      </c>
    </row>
    <row r="80">
      <c r="B80" s="245">
        <f t="shared" si="1"/>
        <v>1934</v>
      </c>
      <c r="C80" s="244">
        <v>9349.0</v>
      </c>
    </row>
    <row r="81">
      <c r="B81" s="245">
        <f t="shared" si="1"/>
        <v>1935</v>
      </c>
      <c r="C81" s="244">
        <v>9891.0</v>
      </c>
    </row>
    <row r="82">
      <c r="B82" s="245">
        <f t="shared" si="1"/>
        <v>1936</v>
      </c>
      <c r="C82" s="244">
        <v>10379.0</v>
      </c>
    </row>
    <row r="83">
      <c r="B83" s="245">
        <f t="shared" si="1"/>
        <v>1937</v>
      </c>
      <c r="C83" s="244">
        <v>11263.0</v>
      </c>
    </row>
    <row r="84">
      <c r="B84" s="245">
        <f t="shared" si="1"/>
        <v>1938</v>
      </c>
      <c r="C84" s="244">
        <v>12067.0</v>
      </c>
    </row>
    <row r="85">
      <c r="B85" s="245">
        <f t="shared" si="1"/>
        <v>1939</v>
      </c>
      <c r="C85" s="244">
        <v>15409.0</v>
      </c>
    </row>
    <row r="86">
      <c r="B86" s="245">
        <f t="shared" si="1"/>
        <v>1940</v>
      </c>
      <c r="C86" s="244">
        <v>15353.0</v>
      </c>
    </row>
    <row r="87">
      <c r="B87" s="245">
        <f t="shared" si="1"/>
        <v>1941</v>
      </c>
      <c r="C87" s="244">
        <v>15883.0</v>
      </c>
    </row>
    <row r="88">
      <c r="B88" s="245">
        <f t="shared" si="1"/>
        <v>1942</v>
      </c>
      <c r="C88" s="244">
        <v>14397.0</v>
      </c>
    </row>
    <row r="89">
      <c r="B89" s="245">
        <f t="shared" si="1"/>
        <v>1943</v>
      </c>
      <c r="C89" s="244">
        <v>13399.0</v>
      </c>
    </row>
    <row r="90">
      <c r="B90" s="245">
        <f t="shared" si="1"/>
        <v>1944</v>
      </c>
      <c r="C90" s="244">
        <v>13221.0</v>
      </c>
    </row>
    <row r="91">
      <c r="B91" s="245">
        <f t="shared" si="1"/>
        <v>1945</v>
      </c>
      <c r="C91" s="244">
        <v>12796.0</v>
      </c>
      <c r="D91" s="244"/>
      <c r="E91" s="244"/>
      <c r="F91" s="244"/>
      <c r="G91" s="244"/>
      <c r="H91" s="244"/>
      <c r="I91" s="244"/>
    </row>
    <row r="92">
      <c r="B92" s="245">
        <f t="shared" si="1"/>
        <v>1946</v>
      </c>
      <c r="C92" s="244">
        <v>12995.0</v>
      </c>
    </row>
    <row r="93">
      <c r="B93" s="245">
        <f t="shared" si="1"/>
        <v>1947</v>
      </c>
      <c r="C93" s="244">
        <v>14090.0</v>
      </c>
    </row>
    <row r="94">
      <c r="B94" s="245">
        <f t="shared" si="1"/>
        <v>1948</v>
      </c>
      <c r="C94" s="244">
        <v>14749.0</v>
      </c>
    </row>
    <row r="95">
      <c r="B95" s="245">
        <f t="shared" si="1"/>
        <v>1949</v>
      </c>
      <c r="C95" s="244">
        <v>15246.0</v>
      </c>
    </row>
    <row r="96">
      <c r="B96" s="245">
        <f t="shared" si="1"/>
        <v>1950</v>
      </c>
      <c r="C96" s="244">
        <v>15313.0</v>
      </c>
    </row>
    <row r="97">
      <c r="B97" s="245">
        <f t="shared" si="1"/>
        <v>1951</v>
      </c>
      <c r="C97" s="244">
        <v>15587.0</v>
      </c>
    </row>
    <row r="98">
      <c r="B98" s="245">
        <f t="shared" si="1"/>
        <v>1952</v>
      </c>
      <c r="C98" s="244">
        <v>16097.0</v>
      </c>
      <c r="D98" s="244">
        <v>16328.0</v>
      </c>
      <c r="E98" s="244">
        <v>16530.0</v>
      </c>
      <c r="F98" s="244">
        <v>17069.0</v>
      </c>
      <c r="G98" s="244">
        <v>17345.0</v>
      </c>
      <c r="H98" s="244">
        <v>17659.0</v>
      </c>
      <c r="I98" s="244">
        <v>17552.0</v>
      </c>
    </row>
    <row r="99">
      <c r="B99" s="245">
        <f t="shared" si="1"/>
        <v>1953</v>
      </c>
      <c r="C99" s="244">
        <v>16328.0</v>
      </c>
    </row>
    <row r="100">
      <c r="B100" s="245">
        <f t="shared" si="1"/>
        <v>1954</v>
      </c>
      <c r="C100" s="244">
        <v>16530.0</v>
      </c>
    </row>
    <row r="101">
      <c r="B101" s="245">
        <f t="shared" si="1"/>
        <v>1955</v>
      </c>
      <c r="C101" s="244">
        <v>17069.0</v>
      </c>
    </row>
    <row r="102">
      <c r="B102" s="245">
        <f t="shared" si="1"/>
        <v>1956</v>
      </c>
      <c r="C102" s="244">
        <v>17345.0</v>
      </c>
    </row>
    <row r="103">
      <c r="B103" s="245">
        <f t="shared" si="1"/>
        <v>1957</v>
      </c>
      <c r="C103" s="244">
        <v>17659.0</v>
      </c>
    </row>
    <row r="104">
      <c r="B104" s="245">
        <f t="shared" si="1"/>
        <v>1958</v>
      </c>
      <c r="C104" s="244">
        <v>17552.0</v>
      </c>
    </row>
    <row r="105">
      <c r="B105" s="245">
        <f t="shared" si="1"/>
        <v>1959</v>
      </c>
      <c r="C105" s="244">
        <v>16904.0</v>
      </c>
      <c r="D105" s="244"/>
      <c r="E105" s="244"/>
      <c r="G105" s="244"/>
      <c r="H105" s="244"/>
      <c r="I105" s="244"/>
    </row>
    <row r="106">
      <c r="B106" s="245">
        <f t="shared" si="1"/>
        <v>1960</v>
      </c>
      <c r="C106" s="244">
        <v>17207.0</v>
      </c>
    </row>
    <row r="107">
      <c r="B107" s="245">
        <f t="shared" si="1"/>
        <v>1961</v>
      </c>
      <c r="C107" s="244">
        <v>17569.0</v>
      </c>
    </row>
    <row r="108">
      <c r="B108" s="245">
        <f t="shared" si="1"/>
        <v>1962</v>
      </c>
      <c r="C108" s="140">
        <v>17367.0</v>
      </c>
    </row>
    <row r="109">
      <c r="B109" s="245">
        <f t="shared" si="1"/>
        <v>1963</v>
      </c>
      <c r="C109" s="244">
        <v>17906.0</v>
      </c>
    </row>
    <row r="110">
      <c r="B110" s="245">
        <f t="shared" si="1"/>
        <v>1964</v>
      </c>
      <c r="C110" s="244">
        <v>17658.0</v>
      </c>
    </row>
    <row r="111">
      <c r="B111" s="245">
        <f t="shared" si="1"/>
        <v>1965</v>
      </c>
      <c r="C111" s="244">
        <v>17504.0</v>
      </c>
    </row>
    <row r="112">
      <c r="B112" s="245">
        <f t="shared" si="1"/>
        <v>1966</v>
      </c>
      <c r="C112" s="244">
        <v>15760.0</v>
      </c>
      <c r="D112" s="244">
        <v>14085.0</v>
      </c>
      <c r="E112" s="244">
        <v>12781.0</v>
      </c>
      <c r="F112" s="244">
        <v>12452.0</v>
      </c>
      <c r="G112" s="244">
        <v>12059.0</v>
      </c>
      <c r="H112" s="244">
        <v>11928.0</v>
      </c>
      <c r="I112" s="244">
        <v>11693.0</v>
      </c>
    </row>
    <row r="113">
      <c r="B113" s="245">
        <f t="shared" si="1"/>
        <v>1967</v>
      </c>
      <c r="C113" s="244">
        <v>14085.0</v>
      </c>
    </row>
    <row r="114">
      <c r="B114" s="245">
        <f t="shared" si="1"/>
        <v>1968</v>
      </c>
      <c r="C114" s="244">
        <v>12781.0</v>
      </c>
    </row>
    <row r="115">
      <c r="B115" s="245">
        <f t="shared" si="1"/>
        <v>1969</v>
      </c>
      <c r="C115" s="244">
        <v>12452.0</v>
      </c>
    </row>
    <row r="116">
      <c r="B116" s="245">
        <f t="shared" si="1"/>
        <v>1970</v>
      </c>
      <c r="C116" s="244">
        <v>12059.0</v>
      </c>
    </row>
    <row r="117">
      <c r="B117" s="245">
        <f t="shared" si="1"/>
        <v>1971</v>
      </c>
      <c r="C117" s="244">
        <v>11928.0</v>
      </c>
    </row>
    <row r="118">
      <c r="B118" s="245">
        <f t="shared" si="1"/>
        <v>1972</v>
      </c>
      <c r="C118" s="244">
        <v>11693.0</v>
      </c>
    </row>
    <row r="119">
      <c r="B119" s="245">
        <f t="shared" si="1"/>
        <v>1973</v>
      </c>
      <c r="C119" s="244">
        <v>12945.0</v>
      </c>
      <c r="D119" s="244">
        <v>14329.0</v>
      </c>
      <c r="E119" s="244">
        <v>16071.0</v>
      </c>
      <c r="F119" s="244">
        <v>17705.0</v>
      </c>
      <c r="G119" s="244">
        <v>19367.0</v>
      </c>
      <c r="H119" s="244">
        <v>20190.0</v>
      </c>
      <c r="I119" s="244">
        <v>20895.0</v>
      </c>
    </row>
    <row r="120">
      <c r="B120" s="245">
        <f t="shared" si="1"/>
        <v>1974</v>
      </c>
      <c r="C120" s="244">
        <v>14329.0</v>
      </c>
    </row>
    <row r="121">
      <c r="B121" s="245">
        <f t="shared" si="1"/>
        <v>1975</v>
      </c>
      <c r="C121" s="244">
        <v>16071.0</v>
      </c>
    </row>
    <row r="122">
      <c r="B122" s="245">
        <f t="shared" si="1"/>
        <v>1976</v>
      </c>
      <c r="C122" s="244">
        <v>17705.0</v>
      </c>
    </row>
    <row r="123">
      <c r="B123" s="245">
        <f t="shared" si="1"/>
        <v>1977</v>
      </c>
      <c r="C123" s="244">
        <v>19367.0</v>
      </c>
    </row>
    <row r="124">
      <c r="B124" s="245">
        <f t="shared" si="1"/>
        <v>1978</v>
      </c>
      <c r="C124" s="243">
        <v>20459.0</v>
      </c>
      <c r="D124" s="243" t="s">
        <v>594</v>
      </c>
    </row>
    <row r="125">
      <c r="B125" s="245">
        <f t="shared" si="1"/>
        <v>1979</v>
      </c>
      <c r="C125" s="243">
        <v>20856.0</v>
      </c>
      <c r="D125" s="243"/>
    </row>
    <row r="126">
      <c r="B126" s="245">
        <f t="shared" si="1"/>
        <v>1980</v>
      </c>
      <c r="C126" s="243">
        <v>21815.0</v>
      </c>
      <c r="D126" s="243"/>
    </row>
    <row r="127">
      <c r="B127" s="245">
        <f t="shared" si="1"/>
        <v>1981</v>
      </c>
      <c r="C127" s="243">
        <v>25494.0</v>
      </c>
      <c r="D127" s="243"/>
    </row>
    <row r="128">
      <c r="B128" s="245">
        <f t="shared" si="1"/>
        <v>1982</v>
      </c>
      <c r="C128" s="243">
        <v>27945.0</v>
      </c>
      <c r="D128" s="243"/>
    </row>
    <row r="129">
      <c r="B129" s="245">
        <f t="shared" si="1"/>
        <v>1983</v>
      </c>
      <c r="C129" s="243">
        <v>30510.0</v>
      </c>
      <c r="D129" s="243"/>
    </row>
    <row r="130">
      <c r="B130" s="245">
        <f t="shared" si="1"/>
        <v>1984</v>
      </c>
      <c r="C130" s="243">
        <v>33109.0</v>
      </c>
      <c r="D130" s="243"/>
    </row>
    <row r="131">
      <c r="B131" s="245">
        <f t="shared" si="1"/>
        <v>1985</v>
      </c>
      <c r="C131" s="243">
        <v>34507.0</v>
      </c>
      <c r="D131" s="243"/>
    </row>
    <row r="132">
      <c r="B132" s="245">
        <f t="shared" si="1"/>
        <v>1986</v>
      </c>
      <c r="C132" s="243">
        <v>38449.0</v>
      </c>
      <c r="D132" s="243"/>
    </row>
    <row r="133">
      <c r="B133" s="245">
        <f t="shared" si="1"/>
        <v>1987</v>
      </c>
      <c r="C133" s="243">
        <v>40842.0</v>
      </c>
      <c r="D133" s="243"/>
    </row>
    <row r="134">
      <c r="B134" s="245">
        <f t="shared" si="1"/>
        <v>1988</v>
      </c>
      <c r="C134" s="243">
        <v>44560.0</v>
      </c>
      <c r="D134" s="243"/>
    </row>
    <row r="135">
      <c r="B135" s="245">
        <f t="shared" si="1"/>
        <v>1989</v>
      </c>
      <c r="C135" s="243">
        <v>51232.0</v>
      </c>
      <c r="D135" s="243"/>
    </row>
    <row r="136">
      <c r="B136" s="245">
        <f t="shared" si="1"/>
        <v>1990</v>
      </c>
      <c r="C136" s="243">
        <v>54895.0</v>
      </c>
      <c r="D136" s="243"/>
    </row>
    <row r="137">
      <c r="B137" s="245">
        <f t="shared" si="1"/>
        <v>1991</v>
      </c>
      <c r="C137" s="243">
        <v>57862.0</v>
      </c>
      <c r="D137" s="243"/>
    </row>
    <row r="138">
      <c r="B138" s="245">
        <f t="shared" si="1"/>
        <v>1992</v>
      </c>
      <c r="C138" s="243">
        <v>61736.0</v>
      </c>
      <c r="D138" s="243"/>
    </row>
    <row r="139">
      <c r="B139" s="245">
        <f t="shared" si="1"/>
        <v>1993</v>
      </c>
      <c r="C139" s="243">
        <v>64569.0</v>
      </c>
      <c r="D139" s="243"/>
    </row>
    <row r="140">
      <c r="B140" s="245">
        <f t="shared" si="1"/>
        <v>1994</v>
      </c>
      <c r="C140" s="243">
        <v>66750.0</v>
      </c>
      <c r="D140" s="243"/>
    </row>
    <row r="141">
      <c r="B141" s="245">
        <f t="shared" si="1"/>
        <v>1995</v>
      </c>
      <c r="C141" s="243">
        <v>68486.0</v>
      </c>
      <c r="D141" s="243"/>
    </row>
    <row r="142">
      <c r="B142" s="245">
        <f t="shared" si="1"/>
        <v>1996</v>
      </c>
      <c r="C142" s="243">
        <v>69709.0</v>
      </c>
      <c r="D142" s="243"/>
    </row>
    <row r="143">
      <c r="B143" s="245">
        <f t="shared" si="1"/>
        <v>1997</v>
      </c>
      <c r="C143" s="243">
        <v>69108.0</v>
      </c>
      <c r="D143" s="243"/>
    </row>
    <row r="144">
      <c r="B144" s="245">
        <f t="shared" si="1"/>
        <v>1998</v>
      </c>
      <c r="C144" s="243">
        <v>72289.0</v>
      </c>
      <c r="D144" s="243"/>
    </row>
    <row r="145">
      <c r="B145" s="245">
        <f t="shared" si="1"/>
        <v>1999</v>
      </c>
      <c r="C145" s="243">
        <v>72899.0</v>
      </c>
      <c r="D145" s="243"/>
    </row>
    <row r="146">
      <c r="B146" s="245">
        <f t="shared" si="1"/>
        <v>2000</v>
      </c>
      <c r="C146" s="243">
        <v>70199.0</v>
      </c>
      <c r="D146" s="243"/>
    </row>
    <row r="147">
      <c r="B147" s="245">
        <f t="shared" si="1"/>
        <v>2001</v>
      </c>
      <c r="C147" s="243">
        <v>67533.0</v>
      </c>
      <c r="D147" s="243"/>
    </row>
    <row r="148">
      <c r="B148" s="245">
        <f t="shared" si="1"/>
        <v>2002</v>
      </c>
      <c r="C148" s="243">
        <v>67065.0</v>
      </c>
      <c r="D148" s="243"/>
    </row>
    <row r="149">
      <c r="B149" s="245">
        <f t="shared" si="1"/>
        <v>2003</v>
      </c>
      <c r="C149" s="243">
        <v>65198.0</v>
      </c>
      <c r="D149" s="243"/>
    </row>
    <row r="150">
      <c r="B150" s="245">
        <f t="shared" si="1"/>
        <v>2004</v>
      </c>
      <c r="C150" s="243">
        <v>63751.0</v>
      </c>
      <c r="D150" s="243"/>
    </row>
    <row r="151">
      <c r="B151" s="245">
        <f t="shared" si="1"/>
        <v>2005</v>
      </c>
      <c r="C151" s="243">
        <v>62743.0</v>
      </c>
      <c r="D151" s="243"/>
    </row>
    <row r="152">
      <c r="B152" s="245">
        <f t="shared" si="1"/>
        <v>2006</v>
      </c>
      <c r="C152" s="243">
        <v>63315.0</v>
      </c>
      <c r="D152" s="243"/>
    </row>
    <row r="153">
      <c r="B153" s="245">
        <f t="shared" si="1"/>
        <v>2007</v>
      </c>
      <c r="C153" s="243">
        <v>62620.0</v>
      </c>
      <c r="D153" s="243"/>
    </row>
    <row r="154">
      <c r="B154" s="245">
        <f t="shared" si="1"/>
        <v>2008</v>
      </c>
      <c r="C154" s="243">
        <v>60347.0</v>
      </c>
      <c r="D154" s="243"/>
    </row>
    <row r="155">
      <c r="B155" s="245">
        <f t="shared" si="1"/>
        <v>2009</v>
      </c>
      <c r="C155" s="243">
        <v>58687.0</v>
      </c>
      <c r="D155" s="243"/>
    </row>
    <row r="156">
      <c r="B156" s="245">
        <f t="shared" si="1"/>
        <v>2010</v>
      </c>
      <c r="C156" s="243">
        <v>56656.0</v>
      </c>
      <c r="D156" s="243"/>
    </row>
    <row r="157">
      <c r="B157" s="245">
        <f t="shared" si="1"/>
        <v>2011</v>
      </c>
      <c r="C157" s="243">
        <v>55436.0</v>
      </c>
      <c r="D157" s="243"/>
    </row>
    <row r="158">
      <c r="B158" s="245">
        <f t="shared" si="1"/>
        <v>2012</v>
      </c>
      <c r="C158" s="243">
        <v>54210.0</v>
      </c>
      <c r="D158" s="243"/>
    </row>
    <row r="159">
      <c r="B159" s="245">
        <f t="shared" si="1"/>
        <v>2013</v>
      </c>
      <c r="C159" s="243">
        <v>53550.0</v>
      </c>
      <c r="D159" s="243"/>
    </row>
    <row r="160">
      <c r="B160" s="245">
        <f t="shared" si="1"/>
        <v>2014</v>
      </c>
      <c r="C160" s="243">
        <v>52518.0</v>
      </c>
      <c r="D160" s="243"/>
    </row>
    <row r="161">
      <c r="B161" s="245">
        <f t="shared" si="1"/>
        <v>2015</v>
      </c>
      <c r="C161" s="243">
        <v>51727.0</v>
      </c>
      <c r="D161" s="243"/>
    </row>
    <row r="162">
      <c r="B162" s="245">
        <f t="shared" si="1"/>
        <v>2016</v>
      </c>
      <c r="C162" s="243">
        <v>50716.0</v>
      </c>
      <c r="D162" s="243"/>
    </row>
    <row r="163">
      <c r="B163" s="245">
        <f t="shared" si="1"/>
        <v>2017</v>
      </c>
      <c r="C163" s="243">
        <v>49461.0</v>
      </c>
      <c r="D163" s="243"/>
    </row>
    <row r="164">
      <c r="B164" s="245">
        <f t="shared" si="1"/>
        <v>2018</v>
      </c>
      <c r="C164" s="243">
        <v>46636.0</v>
      </c>
      <c r="D164" s="243"/>
    </row>
    <row r="165">
      <c r="B165" s="245">
        <f t="shared" si="1"/>
        <v>2019</v>
      </c>
      <c r="C165" s="243">
        <v>43500.0</v>
      </c>
      <c r="D165" s="243"/>
    </row>
  </sheetData>
  <hyperlinks>
    <hyperlink r:id="rId1" ref="H2"/>
    <hyperlink r:id="rId2" ref="B24"/>
    <hyperlink r:id="rId3" ref="B26"/>
    <hyperlink r:id="rId4" ref="B29"/>
    <hyperlink r:id="rId5" ref="A34"/>
    <hyperlink r:id="rId6" ref="A37"/>
    <hyperlink r:id="rId7" ref="A56"/>
    <hyperlink r:id="rId8" ref="A67"/>
  </hyperlinks>
  <drawing r:id="rId9"/>
</worksheet>
</file>